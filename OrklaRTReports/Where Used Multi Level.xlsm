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4jAQsYndJzKLR2kSoU9Bjnnz0gWuk/0dBgy5g/+ympU3r6BvTQqsFkfxGvcKNc2wWR5BAmVvwJKaDivVPBJ+bg==" workbookSaltValue="u+HAr4ANmzcXOpQFsm5riA==" workbookSpinCount="100000" lockStructure="1"/>
  <bookViews>
    <workbookView xWindow="1536" yWindow="2940" windowWidth="17388" windowHeight="7320" tabRatio="934" firstSheet="8" activeTab="8"/>
  </bookViews>
  <sheets>
    <sheet name="Database" sheetId="9" state="hidden" r:id="rId1"/>
    <sheet name="ExchangeRates" sheetId="11" state="hidden" r:id="rId2"/>
    <sheet name="Comments" sheetId="25" state="hidden" r:id="rId3"/>
    <sheet name="Descriptions" sheetId="8" state="hidden" r:id="rId4"/>
    <sheet name="PvtTableDef" sheetId="33" state="hidden" r:id="rId5"/>
    <sheet name="LocalLists" sheetId="24" state="hidden" r:id="rId6"/>
    <sheet name="ReportOptions" sheetId="10" state="hidden" r:id="rId7"/>
    <sheet name="Version" sheetId="5" state="hidden" r:id="rId8"/>
    <sheet name="Rapport info" sheetId="1" r:id="rId9"/>
    <sheet name="Where_Used" sheetId="40" r:id="rId10"/>
    <sheet name="BOM_Explosion" sheetId="41" r:id="rId11"/>
    <sheet name="Step_Up" sheetId="42" r:id="rId12"/>
    <sheet name="Where_Used_In" sheetId="43" r:id="rId13"/>
    <sheet name="Complete_BOM" sheetId="44" r:id="rId14"/>
  </sheets>
  <externalReferences>
    <externalReference r:id="rId15"/>
  </externalReferences>
  <definedNames>
    <definedName name="Currency">ReportOptions!$B$5</definedName>
    <definedName name="FirstSheet">Version!$B$6</definedName>
    <definedName name="FirstTable">Version!$B$7</definedName>
    <definedName name="LinkPrices">LocalLists!$A$8</definedName>
    <definedName name="LinkQty">LocalLists!$A$7</definedName>
    <definedName name="Manko_Kart">IF(Database!BK1048561&lt;&gt;Database!BK1048560,SUMIF(Database!BK1048561:BK45,Database!BK1048561,Database!BE1048561:BE45)-SUMIF(Database!BK1048561:BK45,Database!BK1048561,Database!BG1048561:BG45),IF(Database!BK1048561=Database!BK1048560,0,Database!BE1048561-Database!BG1048561))</definedName>
    <definedName name="MS_Field">[1]BDC!$I$7</definedName>
    <definedName name="_xlnm.Print_Titles" localSheetId="10">BOM_Explosion!$13:$13</definedName>
    <definedName name="_xlnm.Print_Titles" localSheetId="13">Complete_BOM!$11:$11</definedName>
    <definedName name="_xlnm.Print_Titles" localSheetId="11">Step_Up!$12:$12</definedName>
    <definedName name="_xlnm.Print_Titles" localSheetId="9">Where_Used!$14:$14</definedName>
    <definedName name="_xlnm.Print_Titles" localSheetId="12">Where_Used_In!$14:$14</definedName>
    <definedName name="RecNum">'Rapport info'!$K$10</definedName>
    <definedName name="ReportCaption">Version!$B$8</definedName>
    <definedName name="ReportCaption1">Version!$B$9</definedName>
    <definedName name="ReportCaption10">Version!#REF!</definedName>
    <definedName name="ReportCaption2">Version!#REF!</definedName>
    <definedName name="ReportCaption3">Version!#REF!</definedName>
    <definedName name="ReportCaption4">Version!#REF!</definedName>
    <definedName name="ReportCaption5">Version!#REF!</definedName>
    <definedName name="ReportCaption6">Version!#REF!</definedName>
    <definedName name="ReportCaption7">Version!#REF!</definedName>
    <definedName name="ReportCaption8">Version!#REF!</definedName>
    <definedName name="ReportCaption9">Version!#REF!</definedName>
    <definedName name="ReportID">Version!$B$4</definedName>
    <definedName name="SapExlReportName">Version!$B$5</definedName>
    <definedName name="Time_Used">'Rapport info'!$K$12</definedName>
    <definedName name="Updated">'Rapport info'!$K$11</definedName>
  </definedNames>
  <calcPr calcId="171027"/>
  <pivotCaches>
    <pivotCache cacheId="32" r:id="rId16"/>
  </pivotCaches>
</workbook>
</file>

<file path=xl/calcChain.xml><?xml version="1.0" encoding="utf-8"?>
<calcChain xmlns="http://schemas.openxmlformats.org/spreadsheetml/2006/main">
  <c r="CA2" i="9" l="1"/>
  <c r="CA3" i="9"/>
  <c r="CA4" i="9"/>
  <c r="CB2" i="9"/>
  <c r="CE2" i="9" l="1"/>
  <c r="CE3" i="9"/>
  <c r="A3" i="44" l="1"/>
  <c r="A3" i="43"/>
  <c r="A3" i="42"/>
  <c r="A3" i="41"/>
  <c r="A3" i="40"/>
  <c r="CH2" i="9" l="1"/>
  <c r="CH3" i="9"/>
  <c r="CH4" i="9"/>
  <c r="CI2" i="9"/>
  <c r="CI3" i="9"/>
  <c r="CI4" i="9"/>
  <c r="CK2" i="9" l="1"/>
  <c r="CK3" i="9"/>
  <c r="CK4" i="9"/>
  <c r="CB3" i="9" l="1"/>
  <c r="CB4" i="9"/>
  <c r="BZ2" i="9"/>
  <c r="BZ3" i="9"/>
  <c r="BZ4" i="9"/>
  <c r="BY2" i="9"/>
  <c r="CD2" i="9" s="1"/>
  <c r="BY3" i="9"/>
  <c r="CD3" i="9" s="1"/>
  <c r="BY4" i="9"/>
  <c r="BX2" i="9"/>
  <c r="BX3" i="9"/>
  <c r="BX4" i="9"/>
  <c r="BW2" i="9"/>
  <c r="BW3" i="9"/>
  <c r="BW4" i="9"/>
  <c r="CF2" i="9"/>
  <c r="CF3" i="9"/>
  <c r="CF4" i="9"/>
  <c r="CJ2" i="9"/>
  <c r="CJ3" i="9"/>
  <c r="CJ4" i="9"/>
  <c r="CL2" i="9"/>
  <c r="CL3" i="9"/>
  <c r="CL4" i="9"/>
  <c r="CM2" i="9"/>
  <c r="CM3" i="9"/>
  <c r="CM4" i="9"/>
  <c r="CN2" i="9"/>
  <c r="CN3" i="9"/>
  <c r="CN4" i="9"/>
  <c r="CE4" i="9" l="1"/>
  <c r="CD4" i="9"/>
  <c r="BV2" i="9"/>
  <c r="BV3" i="9" s="1"/>
  <c r="BV4" i="9" s="1"/>
  <c r="CG3" i="9"/>
  <c r="CG4" i="9"/>
  <c r="CG2" i="9" l="1"/>
  <c r="C5" i="10" l="1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<sst xmlns="http://schemas.openxmlformats.org/spreadsheetml/2006/main" count="612" uniqueCount="363">
  <si>
    <t>Material Name</t>
  </si>
  <si>
    <t>MTyp</t>
  </si>
  <si>
    <t>ReportName</t>
  </si>
  <si>
    <t>ReportID</t>
  </si>
  <si>
    <t>Plnt</t>
  </si>
  <si>
    <t>Material</t>
  </si>
  <si>
    <t>Material Description</t>
  </si>
  <si>
    <t>ValCl</t>
  </si>
  <si>
    <t>NOK</t>
  </si>
  <si>
    <t>Currency</t>
  </si>
  <si>
    <t>This sheet is used to handle user selections in the ribbon group Options</t>
  </si>
  <si>
    <t>Description</t>
  </si>
  <si>
    <t>Ribbon options</t>
  </si>
  <si>
    <t>Value</t>
  </si>
  <si>
    <t>Item tag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</si>
  <si>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</si>
  <si>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</si>
  <si>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</si>
  <si>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</si>
  <si>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</si>
  <si>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</si>
  <si>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</si>
  <si>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</si>
  <si>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</si>
  <si>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</si>
  <si>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</si>
  <si>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</si>
  <si>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</si>
  <si>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</si>
  <si>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</si>
  <si>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</si>
  <si>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</si>
  <si>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Profit Center</t>
  </si>
  <si>
    <t>Product hierarchy</t>
  </si>
  <si>
    <t>FieldName</t>
  </si>
  <si>
    <t>Purchase order no.</t>
  </si>
  <si>
    <t>Delivery</t>
  </si>
  <si>
    <t>Sales Doc.</t>
  </si>
  <si>
    <t>Rj</t>
  </si>
  <si>
    <t>Name 1</t>
  </si>
  <si>
    <t>Req.dlv.dt</t>
  </si>
  <si>
    <t>CmRf</t>
  </si>
  <si>
    <t>SOrg.</t>
  </si>
  <si>
    <t>DChl</t>
  </si>
  <si>
    <t>Dv</t>
  </si>
  <si>
    <t>MG 4</t>
  </si>
  <si>
    <t>Sold-to pt</t>
  </si>
  <si>
    <t>ItCa</t>
  </si>
  <si>
    <t>ShPt</t>
  </si>
  <si>
    <t>Language</t>
  </si>
  <si>
    <t>DS</t>
  </si>
  <si>
    <t>OS</t>
  </si>
  <si>
    <t>OPS</t>
  </si>
  <si>
    <t>MS</t>
  </si>
  <si>
    <t>St</t>
  </si>
  <si>
    <t>C</t>
  </si>
  <si>
    <t>A</t>
  </si>
  <si>
    <t>Order_Qty</t>
  </si>
  <si>
    <t>Conf_Qty</t>
  </si>
  <si>
    <t>Deliv_Qty</t>
  </si>
  <si>
    <t>Order_Value</t>
  </si>
  <si>
    <t>Deliv_Value</t>
  </si>
  <si>
    <t>Conf_Value</t>
  </si>
  <si>
    <t>Index</t>
  </si>
  <si>
    <t>Undeliv_Qty</t>
  </si>
  <si>
    <t>Deliv_Tag</t>
  </si>
  <si>
    <t>Mat_Status_Tag</t>
  </si>
  <si>
    <t>Mat_Type</t>
  </si>
  <si>
    <t>Brand</t>
  </si>
  <si>
    <t>Doc_Status</t>
  </si>
  <si>
    <t>Deliv_Status</t>
  </si>
  <si>
    <t>Cust Chain</t>
  </si>
  <si>
    <t>Customer Name</t>
  </si>
  <si>
    <t>Comments</t>
  </si>
  <si>
    <t>Avail_Date</t>
  </si>
  <si>
    <t>Week_Num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</si>
  <si>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</si>
  <si>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</si>
  <si>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</si>
  <si>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</si>
  <si>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</si>
  <si>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</si>
  <si>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</si>
  <si>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</si>
  <si>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</si>
  <si>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</si>
  <si>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</si>
  <si>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</si>
  <si>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AvailibleDate</t>
  </si>
  <si>
    <t>Comment</t>
  </si>
  <si>
    <t>ReportCaption</t>
  </si>
  <si>
    <t xml:space="preserve">Order_Value </t>
  </si>
  <si>
    <t xml:space="preserve">Conf_Value </t>
  </si>
  <si>
    <t xml:space="preserve">Deliv_Value </t>
  </si>
  <si>
    <t xml:space="preserve">Order_Qty </t>
  </si>
  <si>
    <t xml:space="preserve">Conf_Qty </t>
  </si>
  <si>
    <t xml:space="preserve">Deliv_Qty </t>
  </si>
  <si>
    <t xml:space="preserve">Conf_SL </t>
  </si>
  <si>
    <t xml:space="preserve">Deliv_SL 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</si>
  <si>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</si>
  <si>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</si>
  <si>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</si>
  <si>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</si>
  <si>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</si>
  <si>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</si>
  <si>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</si>
  <si>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</si>
  <si>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</si>
  <si>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</si>
  <si>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</si>
  <si>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</si>
  <si>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</si>
  <si>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</si>
  <si>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</si>
  <si>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</si>
  <si>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</si>
  <si>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</si>
  <si>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</si>
  <si>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</si>
  <si>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</si>
  <si>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</si>
  <si>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</si>
  <si>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</si>
  <si>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</si>
  <si>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</si>
  <si>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</si>
  <si>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</si>
  <si>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</si>
  <si>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</si>
  <si>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</si>
  <si>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</si>
  <si>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</si>
  <si>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</si>
  <si>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ReportCaption1</t>
  </si>
  <si>
    <t>Overall processing status of document</t>
  </si>
  <si>
    <t>Overall picking / putaway status</t>
  </si>
  <si>
    <t>Profit Ctr</t>
  </si>
  <si>
    <t>PPlt</t>
  </si>
  <si>
    <t>SGrp</t>
  </si>
  <si>
    <t>SOff.</t>
  </si>
  <si>
    <t>Item</t>
  </si>
  <si>
    <t>Sales unit</t>
  </si>
  <si>
    <t>SU</t>
  </si>
  <si>
    <t>Subtotal 1</t>
  </si>
  <si>
    <t>ZFER</t>
  </si>
  <si>
    <t>Field</t>
  </si>
  <si>
    <t>Conf_SL</t>
  </si>
  <si>
    <t>Confirmed Service Level - calculation based on sales units</t>
  </si>
  <si>
    <t>Deliv_SL</t>
  </si>
  <si>
    <t>Delivered Service Level - calculation based on sales units</t>
  </si>
  <si>
    <t>Customer Purchase order number</t>
  </si>
  <si>
    <t>Delivery Document number</t>
  </si>
  <si>
    <t>Sales Document number</t>
  </si>
  <si>
    <t>BOM Item Number</t>
  </si>
  <si>
    <t>Material Number</t>
  </si>
  <si>
    <t>Short text for sales order item</t>
  </si>
  <si>
    <t>Reason for rejection of quotations and sales orders</t>
  </si>
  <si>
    <t>Order Quantity</t>
  </si>
  <si>
    <t>Cumulative Order Quantity in Sales Units</t>
  </si>
  <si>
    <t>Sales unit description</t>
  </si>
  <si>
    <t>Cumul.confirmed qty</t>
  </si>
  <si>
    <t>Cumulative confirmed quantity in base unit</t>
  </si>
  <si>
    <t>Delivery quantity</t>
  </si>
  <si>
    <t>Original Quantity of Delivery Item</t>
  </si>
  <si>
    <t>Requested delivery date</t>
  </si>
  <si>
    <t>Planning plant</t>
  </si>
  <si>
    <t>Complete reference indicator</t>
  </si>
  <si>
    <t>Sales Organization</t>
  </si>
  <si>
    <t>Distribution Channel</t>
  </si>
  <si>
    <t>Division</t>
  </si>
  <si>
    <t>Sales Group</t>
  </si>
  <si>
    <t>Sales Office</t>
  </si>
  <si>
    <t>Material group 4</t>
  </si>
  <si>
    <t>Subtotal 1 from pricing procedure for condition</t>
  </si>
  <si>
    <t>Curr.</t>
  </si>
  <si>
    <t>SD Document Currency</t>
  </si>
  <si>
    <t>Sold-to party</t>
  </si>
  <si>
    <t>Sales document item category</t>
  </si>
  <si>
    <t>Plant (Own or External)</t>
  </si>
  <si>
    <t>Shipping Point/Receiving Point</t>
  </si>
  <si>
    <t>Language Key</t>
  </si>
  <si>
    <t>Material Description (Short Text)</t>
  </si>
  <si>
    <t>Material Type</t>
  </si>
  <si>
    <t>Valuation Class in Previous Period</t>
  </si>
  <si>
    <t>Delivery Status</t>
  </si>
  <si>
    <t>Cross-Plant Material Status</t>
  </si>
  <si>
    <t>Distribution-chain-specific material status</t>
  </si>
  <si>
    <t>Number of sales units ordered</t>
  </si>
  <si>
    <t>Number of sales units confirmed</t>
  </si>
  <si>
    <t>Number of sales units delivered</t>
  </si>
  <si>
    <t>Ordered value in list prices (gross or net)</t>
  </si>
  <si>
    <t>Value of confirmed items</t>
  </si>
  <si>
    <t>Value of delivered items so far</t>
  </si>
  <si>
    <t>System field</t>
  </si>
  <si>
    <t>Number of Sales Units Out Of Stock</t>
  </si>
  <si>
    <t>Tag for Out Of Stock - Yes or No</t>
  </si>
  <si>
    <t>Tag for Material Status (New, Deleted etc.) - "Yes" eller "No"</t>
  </si>
  <si>
    <t>Material Type, Own Produced, Trading Goods or Intercompany</t>
  </si>
  <si>
    <t>Material Group 4 (Brands) from SAP</t>
  </si>
  <si>
    <t>Delivery Status - "Created" if Delivery is started or completed - otherwise "None"</t>
  </si>
  <si>
    <t>PG_3</t>
  </si>
  <si>
    <t>Product hierarchy no. 3</t>
  </si>
  <si>
    <t>Material number and description</t>
  </si>
  <si>
    <t>Chain no</t>
  </si>
  <si>
    <t>Customer Chain number</t>
  </si>
  <si>
    <t>Customer Chain Number and Name</t>
  </si>
  <si>
    <t>Customer number and name - Sold to Party</t>
  </si>
  <si>
    <t>Reason for Out Of Stock</t>
  </si>
  <si>
    <t>Material availibility date assumption</t>
  </si>
  <si>
    <t>Cur_Stck</t>
  </si>
  <si>
    <t>Current Valuated Stock quantity for materials not delivered</t>
  </si>
  <si>
    <t>Week Number</t>
  </si>
  <si>
    <t>Ordered value in list prices</t>
  </si>
  <si>
    <t>Confirmed Service Level - calculated on sales units</t>
  </si>
  <si>
    <t>Delivered Service Level - calculated on sales units</t>
  </si>
  <si>
    <t>OoS Value</t>
  </si>
  <si>
    <t>Value of sales units Out Of Stock</t>
  </si>
  <si>
    <t xml:space="preserve">OoS_Share </t>
  </si>
  <si>
    <t>Value share of total Out Of Stock</t>
  </si>
  <si>
    <t>Created if Delivery is startet, and None if no Delivey Document is created.</t>
  </si>
  <si>
    <t>ProdStart</t>
  </si>
  <si>
    <t>Scheduled production start (based on todays Production Plan - if it exists)</t>
  </si>
  <si>
    <t>Description(BrandName)</t>
  </si>
  <si>
    <t>Rapporter Statistikker</t>
  </si>
  <si>
    <t xml:space="preserve">Rapporten Inneholder </t>
  </si>
  <si>
    <t>Språk</t>
  </si>
  <si>
    <t>Produkthierarki</t>
  </si>
  <si>
    <t>Valuta</t>
  </si>
  <si>
    <t>Fabrikk</t>
  </si>
  <si>
    <t xml:space="preserve">    Trykk F10 for å vise seleksjoner for rapport</t>
  </si>
  <si>
    <t>Ikke tilordnet</t>
  </si>
  <si>
    <t>Stabburet AS</t>
  </si>
  <si>
    <t>CN</t>
  </si>
  <si>
    <t>Dagligvare</t>
  </si>
  <si>
    <t>Arna</t>
  </si>
  <si>
    <t>Norsk</t>
  </si>
  <si>
    <t>Toro Estragonsaus kremet pastøs 2bx/7L</t>
  </si>
  <si>
    <t>Grønnsaker, Tørt</t>
  </si>
  <si>
    <t>Ferdigvare OFN Pricat</t>
  </si>
  <si>
    <t>SAUS, PASTØS, SH</t>
  </si>
  <si>
    <t>Edward Sundt.</t>
  </si>
  <si>
    <t>KG</t>
  </si>
  <si>
    <t>Orkla Foods Norge AS</t>
  </si>
  <si>
    <t>Shanghai Richfield Intern. Trade Co</t>
  </si>
  <si>
    <t>Vegetables Dry</t>
  </si>
  <si>
    <t>KBL KREMET ESTRAGONSAUS PASTA</t>
  </si>
  <si>
    <t>Hvitløkpulver</t>
  </si>
  <si>
    <t>Blandinger OFN</t>
  </si>
  <si>
    <t>Råvarer OFN</t>
  </si>
  <si>
    <t>NORM</t>
  </si>
  <si>
    <t>Stykk</t>
  </si>
  <si>
    <t>US dollar</t>
  </si>
  <si>
    <t>kg</t>
  </si>
  <si>
    <t>AR00</t>
  </si>
  <si>
    <t>ZTEXT30</t>
  </si>
  <si>
    <t>ZTEXT30_1</t>
  </si>
  <si>
    <t>ZTEXT40</t>
  </si>
  <si>
    <t>ZTEXTXL</t>
  </si>
  <si>
    <t>Primærstatus</t>
  </si>
  <si>
    <t>Fimakode</t>
  </si>
  <si>
    <t>Prisenhet</t>
  </si>
  <si>
    <t>Opprinnelsesland</t>
  </si>
  <si>
    <t>Distribusjonskanal</t>
  </si>
  <si>
    <t>Språkkode</t>
  </si>
  <si>
    <t>Materialnavn</t>
  </si>
  <si>
    <t>Materialgrp. 1</t>
  </si>
  <si>
    <t>Materialgrp. 4</t>
  </si>
  <si>
    <t>Materialgrp.</t>
  </si>
  <si>
    <t>Materialtype</t>
  </si>
  <si>
    <t>Innkjøpsgruppe</t>
  </si>
  <si>
    <t>kvantumsenhet</t>
  </si>
  <si>
    <t>Salgsorganisasjon</t>
  </si>
  <si>
    <t>Leverandør</t>
  </si>
  <si>
    <t>Firmanavn</t>
  </si>
  <si>
    <t>MRP-partistr</t>
  </si>
  <si>
    <t>MRP-partistr1</t>
  </si>
  <si>
    <t>Betegnelse (25)</t>
  </si>
  <si>
    <t>MatSt.</t>
  </si>
  <si>
    <t>Sikkerhetstid</t>
  </si>
  <si>
    <t>Spesialanskaff.</t>
  </si>
  <si>
    <t>Materialnavn1</t>
  </si>
  <si>
    <t>Materialnavn2</t>
  </si>
  <si>
    <t>Primærstatus1</t>
  </si>
  <si>
    <t>MatSt.1</t>
  </si>
  <si>
    <t>Spesialanskaff.1</t>
  </si>
  <si>
    <t>Spesialanskaff.2</t>
  </si>
  <si>
    <t>Basiskvantumsenhet</t>
  </si>
  <si>
    <t>Lokal valuta</t>
  </si>
  <si>
    <t>Kvantumsenhet1</t>
  </si>
  <si>
    <t>Fabrikknavn</t>
  </si>
  <si>
    <t>Materialtypebesk</t>
  </si>
  <si>
    <t>Produkthier</t>
  </si>
  <si>
    <t>Avrundingsverdi</t>
  </si>
  <si>
    <t>Budsj.pris1</t>
  </si>
  <si>
    <t>Gl.gjsn.pris</t>
  </si>
  <si>
    <t>Nettopris</t>
  </si>
  <si>
    <t>Pris</t>
  </si>
  <si>
    <t>Hide Zeros</t>
  </si>
  <si>
    <t>Origin</t>
  </si>
  <si>
    <t>Curr Help</t>
  </si>
  <si>
    <t>Prod_Hier</t>
  </si>
  <si>
    <t>Material1</t>
  </si>
  <si>
    <t>Material2</t>
  </si>
  <si>
    <t>Leverandørnavn</t>
  </si>
  <si>
    <t>Betegnelsepåtrans</t>
  </si>
  <si>
    <t>Betengelse</t>
  </si>
  <si>
    <t>Materialgrp.navn</t>
  </si>
  <si>
    <t>RM0430</t>
  </si>
  <si>
    <t>Product Group(MG1)</t>
  </si>
  <si>
    <t>Brand(MG4)</t>
  </si>
  <si>
    <t>Materialtypenavn1</t>
  </si>
  <si>
    <t>Materialtypenavn2</t>
  </si>
  <si>
    <t>ZMIX</t>
  </si>
  <si>
    <t>ZHAL</t>
  </si>
  <si>
    <t>ZHAW</t>
  </si>
  <si>
    <t>Where used - Multi Level - with component quantities</t>
  </si>
  <si>
    <t>Bom Explosion - Multi Level - with component quantities</t>
  </si>
  <si>
    <t>To use this view you should input ROH or VERP materials in your SAP selections.</t>
  </si>
  <si>
    <t>This view is only valid when FERT materials are selected.</t>
  </si>
  <si>
    <t>Vare./importkodenr</t>
  </si>
  <si>
    <t>Vare./importkodenr1</t>
  </si>
  <si>
    <t>Posisjonskategori</t>
  </si>
  <si>
    <t>Nivå</t>
  </si>
  <si>
    <t>Mtyp1</t>
  </si>
  <si>
    <t>Mtyp2</t>
  </si>
  <si>
    <t>Materialbesk.1</t>
  </si>
  <si>
    <t>Materialbesk.2</t>
  </si>
  <si>
    <t>Materialbesk.</t>
  </si>
  <si>
    <t>Materialgruppe</t>
  </si>
  <si>
    <t>Leverandørkode</t>
  </si>
  <si>
    <t>Produkthierarki1</t>
  </si>
  <si>
    <t>Verdi2</t>
  </si>
  <si>
    <t>Verdi1</t>
  </si>
  <si>
    <t>Kva_beh2</t>
  </si>
  <si>
    <t>Kvantum2</t>
  </si>
  <si>
    <t>Kva_Beh1</t>
  </si>
  <si>
    <t>Kvantum1</t>
  </si>
  <si>
    <t>Kva_ZFER</t>
  </si>
  <si>
    <t>020009 Hvitløkpulver</t>
  </si>
  <si>
    <t>115936 Toro Estragonsaus kremet pastøs 2bx/7L</t>
  </si>
  <si>
    <t>Fabrikknavn2</t>
  </si>
  <si>
    <t>Fabrikknavn1</t>
  </si>
  <si>
    <t>Fabrikk2</t>
  </si>
  <si>
    <t>Fabrikk1</t>
  </si>
  <si>
    <t>018846 Shanghai Richfield Intern. Trade Co</t>
  </si>
  <si>
    <t>602771 KBL KREMET ESTRAGONSAUS PASTA</t>
  </si>
  <si>
    <t>Count of Materialnavn</t>
  </si>
  <si>
    <t>Where_Used</t>
  </si>
  <si>
    <t>PivotTable1</t>
  </si>
  <si>
    <t xml:space="preserve">Where Used - Multi Level </t>
  </si>
  <si>
    <t xml:space="preserve">Kva_beh2 </t>
  </si>
  <si>
    <t xml:space="preserve">Kvantum2 </t>
  </si>
  <si>
    <t xml:space="preserve">Verdi2 </t>
  </si>
  <si>
    <t>- Use this report to get all materials on all BOM levels.</t>
  </si>
  <si>
    <t>- Right Click on a material to move further into new or existing BOMs.</t>
  </si>
  <si>
    <t>- Red labeled input values indicates use of the multi select sheet.</t>
  </si>
  <si>
    <t>Kvantum_Mat</t>
  </si>
  <si>
    <t>Kvantum_Mat2</t>
  </si>
  <si>
    <t>Kvantum_Mat1</t>
  </si>
  <si>
    <t>Budsj.pris2</t>
  </si>
  <si>
    <t>Kvabeh_Mat</t>
  </si>
  <si>
    <t>QuaCurrYear_Mat</t>
  </si>
  <si>
    <t>QuaLastYeat_Mat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</si>
</sst>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indexed="8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indexed="8"/>
      </right>
      <top style="thin">
        <color rgb="FF999999"/>
      </top>
      <bottom style="thin">
        <color rgb="FF999999"/>
      </bottom>
      <diagonal/>
    </border>
  </borders>
  <cellStyleXfs count="8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3" fillId="0" borderId="0"/>
  </cellStyleXfs>
  <cellXfs count="77">
    <xf numFmtId="0" fontId="0" fillId="0" borderId="0" xfId="0"/>
    <xf numFmtId="0" fontId="1" fillId="0" borderId="1" xfId="0" applyFont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14" fontId="1" fillId="5" borderId="0" xfId="0" applyNumberFormat="1" applyFont="1" applyFill="1"/>
    <xf numFmtId="0" fontId="0" fillId="3" borderId="0" xfId="0" applyFill="1" applyAlignment="1">
      <alignment horizontal="left"/>
    </xf>
    <xf numFmtId="0" fontId="7" fillId="0" borderId="0" xfId="1" applyFont="1" applyFill="1"/>
    <xf numFmtId="0" fontId="0" fillId="0" borderId="0" xfId="0" applyAlignment="1">
      <alignment vertical="center" wrapText="1"/>
    </xf>
    <xf numFmtId="0" fontId="10" fillId="0" borderId="0" xfId="1" applyFont="1" applyFill="1"/>
    <xf numFmtId="0" fontId="7" fillId="0" borderId="0" xfId="1" applyFill="1"/>
    <xf numFmtId="0" fontId="7" fillId="0" borderId="0" xfId="0" applyFont="1" applyFill="1"/>
    <xf numFmtId="0" fontId="4" fillId="0" borderId="0" xfId="0" applyFont="1"/>
    <xf numFmtId="0" fontId="3" fillId="0" borderId="0" xfId="0" applyFont="1"/>
    <xf numFmtId="0" fontId="4" fillId="0" borderId="0" xfId="0" quotePrefix="1" applyFont="1"/>
    <xf numFmtId="49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1" fontId="1" fillId="5" borderId="0" xfId="0" applyNumberFormat="1" applyFont="1" applyFill="1"/>
    <xf numFmtId="3" fontId="0" fillId="0" borderId="0" xfId="0" applyNumberFormat="1"/>
    <xf numFmtId="0" fontId="11" fillId="0" borderId="0" xfId="0" applyFont="1"/>
    <xf numFmtId="0" fontId="9" fillId="0" borderId="0" xfId="0" quotePrefix="1" applyFont="1" applyFill="1"/>
    <xf numFmtId="0" fontId="12" fillId="0" borderId="0" xfId="0" quotePrefix="1" applyFont="1"/>
    <xf numFmtId="0" fontId="4" fillId="0" borderId="0" xfId="0" quotePrefix="1" applyFont="1" applyFill="1"/>
    <xf numFmtId="0" fontId="0" fillId="0" borderId="0" xfId="0" applyNumberFormat="1"/>
    <xf numFmtId="0" fontId="1" fillId="0" borderId="0" xfId="0" applyNumberFormat="1" applyFont="1"/>
    <xf numFmtId="0" fontId="0" fillId="0" borderId="0" xfId="0" quotePrefix="1" applyNumberFormat="1"/>
    <xf numFmtId="2" fontId="1" fillId="0" borderId="0" xfId="0" applyNumberFormat="1" applyFont="1"/>
    <xf numFmtId="2" fontId="0" fillId="0" borderId="0" xfId="0" applyNumberFormat="1"/>
    <xf numFmtId="0" fontId="1" fillId="6" borderId="0" xfId="0" applyNumberFormat="1" applyFont="1" applyFill="1"/>
    <xf numFmtId="1" fontId="1" fillId="6" borderId="0" xfId="0" applyNumberFormat="1" applyFont="1" applyFill="1"/>
    <xf numFmtId="0" fontId="0" fillId="7" borderId="0" xfId="0" applyFill="1"/>
    <xf numFmtId="0" fontId="14" fillId="0" borderId="0" xfId="7" applyFont="1"/>
    <xf numFmtId="0" fontId="8" fillId="0" borderId="0" xfId="7" applyFont="1"/>
    <xf numFmtId="0" fontId="13" fillId="0" borderId="0" xfId="7"/>
    <xf numFmtId="0" fontId="0" fillId="0" borderId="10" xfId="0" pivotButton="1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2" borderId="2" xfId="0" applyFont="1" applyFill="1" applyBorder="1"/>
    <xf numFmtId="0" fontId="1" fillId="0" borderId="8" xfId="0" applyFont="1" applyBorder="1" applyAlignment="1">
      <alignment horizontal="right"/>
    </xf>
    <xf numFmtId="0" fontId="1" fillId="2" borderId="4" xfId="0" applyNumberFormat="1" applyFont="1" applyFill="1" applyBorder="1" applyAlignment="1">
      <alignment horizontal="right"/>
    </xf>
    <xf numFmtId="0" fontId="1" fillId="2" borderId="5" xfId="0" applyFont="1" applyFill="1" applyBorder="1"/>
    <xf numFmtId="0" fontId="0" fillId="4" borderId="13" xfId="0" applyFill="1" applyBorder="1"/>
    <xf numFmtId="0" fontId="0" fillId="4" borderId="9" xfId="0" applyFill="1" applyBorder="1"/>
    <xf numFmtId="0" fontId="1" fillId="0" borderId="14" xfId="0" applyFont="1" applyBorder="1" applyAlignment="1">
      <alignment horizontal="right"/>
    </xf>
    <xf numFmtId="0" fontId="0" fillId="0" borderId="14" xfId="0" applyNumberForma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0" fillId="0" borderId="16" xfId="0" applyBorder="1"/>
    <xf numFmtId="0" fontId="1" fillId="0" borderId="11" xfId="0" applyFont="1" applyBorder="1"/>
    <xf numFmtId="0" fontId="0" fillId="4" borderId="20" xfId="0" applyFill="1" applyBorder="1"/>
    <xf numFmtId="0" fontId="0" fillId="4" borderId="18" xfId="0" applyFill="1" applyBorder="1"/>
    <xf numFmtId="0" fontId="0" fillId="0" borderId="7" xfId="0" applyBorder="1"/>
    <xf numFmtId="0" fontId="1" fillId="5" borderId="0" xfId="0" applyNumberFormat="1" applyFont="1" applyFill="1"/>
    <xf numFmtId="3" fontId="0" fillId="0" borderId="11" xfId="0" applyNumberFormat="1" applyBorder="1" applyAlignment="1">
      <alignment horizontal="right"/>
    </xf>
    <xf numFmtId="3" fontId="1" fillId="2" borderId="3" xfId="0" applyNumberFormat="1" applyFont="1" applyFill="1" applyBorder="1" applyAlignment="1">
      <alignment horizontal="right"/>
    </xf>
    <xf numFmtId="3" fontId="0" fillId="4" borderId="11" xfId="0" applyNumberFormat="1" applyFill="1" applyBorder="1" applyAlignment="1">
      <alignment horizontal="right"/>
    </xf>
    <xf numFmtId="3" fontId="0" fillId="0" borderId="14" xfId="0" applyNumberFormat="1" applyBorder="1" applyAlignment="1">
      <alignment horizontal="right"/>
    </xf>
    <xf numFmtId="3" fontId="1" fillId="2" borderId="4" xfId="0" applyNumberFormat="1" applyFont="1" applyFill="1" applyBorder="1" applyAlignment="1">
      <alignment horizontal="right"/>
    </xf>
    <xf numFmtId="3" fontId="0" fillId="4" borderId="15" xfId="0" applyNumberFormat="1" applyFill="1" applyBorder="1" applyAlignment="1">
      <alignment horizontal="right"/>
    </xf>
    <xf numFmtId="3" fontId="0" fillId="4" borderId="19" xfId="0" applyNumberFormat="1" applyFill="1" applyBorder="1" applyAlignment="1">
      <alignment horizontal="right"/>
    </xf>
    <xf numFmtId="3" fontId="0" fillId="4" borderId="21" xfId="0" applyNumberFormat="1" applyFill="1" applyBorder="1" applyAlignment="1">
      <alignment horizontal="right"/>
    </xf>
    <xf numFmtId="3" fontId="0" fillId="0" borderId="8" xfId="0" applyNumberFormat="1" applyBorder="1" applyAlignment="1">
      <alignment horizontal="right"/>
    </xf>
    <xf numFmtId="3" fontId="0" fillId="4" borderId="17" xfId="0" applyNumberFormat="1" applyFill="1" applyBorder="1" applyAlignment="1">
      <alignment horizontal="right"/>
    </xf>
    <xf numFmtId="3" fontId="0" fillId="4" borderId="8" xfId="0" applyNumberFormat="1" applyFill="1" applyBorder="1" applyAlignment="1">
      <alignment horizontal="right"/>
    </xf>
  </cellXfs>
  <cellStyles count="8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</cellStyles>
  <dxfs count="51"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2" formatCode="0.00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FF99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23319</xdr:colOff>
      <xdr:row>1</xdr:row>
      <xdr:rowOff>148332</xdr:rowOff>
    </xdr:from>
    <xdr:to>
      <xdr:col>9</xdr:col>
      <xdr:colOff>412376</xdr:colOff>
      <xdr:row>4</xdr:row>
      <xdr:rowOff>70690</xdr:rowOff>
    </xdr:to>
    <xdr:sp macro="" textlink="SapExlReportName">
      <xdr:nvSpPr>
        <xdr:cNvPr id="6" name="Avrundet rektangel 5"/>
        <xdr:cNvSpPr/>
      </xdr:nvSpPr>
      <xdr:spPr>
        <a:xfrm>
          <a:off x="2587225" y="345556"/>
          <a:ext cx="4154233" cy="540922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Where Used - Multi Level 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2</xdr:colOff>
      <xdr:row>0</xdr:row>
      <xdr:rowOff>134471</xdr:rowOff>
    </xdr:from>
    <xdr:to>
      <xdr:col>3</xdr:col>
      <xdr:colOff>488242</xdr:colOff>
      <xdr:row>6</xdr:row>
      <xdr:rowOff>1009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5" y="134471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17930</xdr:colOff>
      <xdr:row>0</xdr:row>
      <xdr:rowOff>17930</xdr:rowOff>
    </xdr:from>
    <xdr:ext cx="4787152" cy="277097"/>
    <xdr:sp macro="" textlink="ReportCaption">
      <xdr:nvSpPr>
        <xdr:cNvPr id="12" name="Avrundet rektangel 1"/>
        <xdr:cNvSpPr/>
      </xdr:nvSpPr>
      <xdr:spPr>
        <a:xfrm>
          <a:off x="17930" y="17930"/>
          <a:ext cx="478715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Where used - Multi Level - with component quantities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8964</xdr:colOff>
      <xdr:row>0</xdr:row>
      <xdr:rowOff>17930</xdr:rowOff>
    </xdr:from>
    <xdr:ext cx="5253317" cy="277097"/>
    <xdr:sp macro="" textlink="ReportCaption1">
      <xdr:nvSpPr>
        <xdr:cNvPr id="2" name="Avrundet rektangel 1"/>
        <xdr:cNvSpPr/>
      </xdr:nvSpPr>
      <xdr:spPr>
        <a:xfrm>
          <a:off x="8964" y="17930"/>
          <a:ext cx="525331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tIns="0" bIns="0" rtlCol="0" anchor="t">
          <a:spAutoFit/>
        </a:bodyPr>
        <a:lstStyle/>
        <a:p>
          <a:pPr algn="l"/>
          <a:fld id="{345A35FE-01E7-43DD-98AD-154FD1D69E30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Bom Explosion - Multi Level - with component quantities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8965</xdr:colOff>
      <xdr:row>0</xdr:row>
      <xdr:rowOff>8965</xdr:rowOff>
    </xdr:from>
    <xdr:ext cx="5253317" cy="277097"/>
    <xdr:sp macro="" textlink="ReportCaption1">
      <xdr:nvSpPr>
        <xdr:cNvPr id="2" name="Avrundet rektangel 1"/>
        <xdr:cNvSpPr/>
      </xdr:nvSpPr>
      <xdr:spPr>
        <a:xfrm>
          <a:off x="8965" y="8965"/>
          <a:ext cx="525331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tIns="0" bIns="0" rtlCol="0" anchor="t">
          <a:spAutoFit/>
        </a:bodyPr>
        <a:lstStyle/>
        <a:p>
          <a:pPr algn="l"/>
          <a:fld id="{345A35FE-01E7-43DD-98AD-154FD1D69E30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Bom Explosion - Multi Level - with component quantities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17930</xdr:rowOff>
    </xdr:from>
    <xdr:ext cx="4787152" cy="277097"/>
    <xdr:sp macro="" textlink="ReportCaption">
      <xdr:nvSpPr>
        <xdr:cNvPr id="2" name="Avrundet rektangel 1"/>
        <xdr:cNvSpPr/>
      </xdr:nvSpPr>
      <xdr:spPr>
        <a:xfrm>
          <a:off x="0" y="17930"/>
          <a:ext cx="478715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Where used - Multi Level - with component quantities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8965</xdr:colOff>
      <xdr:row>0</xdr:row>
      <xdr:rowOff>8965</xdr:rowOff>
    </xdr:from>
    <xdr:ext cx="5253317" cy="277097"/>
    <xdr:sp macro="" textlink="ReportCaption1">
      <xdr:nvSpPr>
        <xdr:cNvPr id="2" name="Avrundet rektangel 1"/>
        <xdr:cNvSpPr/>
      </xdr:nvSpPr>
      <xdr:spPr>
        <a:xfrm>
          <a:off x="8965" y="8965"/>
          <a:ext cx="525331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tIns="0" bIns="0" rtlCol="0" anchor="t">
          <a:spAutoFit/>
        </a:bodyPr>
        <a:lstStyle/>
        <a:p>
          <a:pPr algn="l"/>
          <a:fld id="{345A35FE-01E7-43DD-98AD-154FD1D69E30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Bom Explosion - Multi Level - with component quantities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kbott/Desktop/WhereUsed/Copy%20of%20Material_Where_Used_ML_07_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C"/>
      <sheetName val="Groups"/>
      <sheetName val="Database"/>
      <sheetName val="BudgetCryLY"/>
      <sheetName val="BudgetCryTY"/>
      <sheetName val="Husk"/>
      <sheetName val="BDC_Y105"/>
      <sheetName val="ProdHier"/>
      <sheetName val="Descriptions"/>
      <sheetName val="PVT_Structure"/>
      <sheetName val="Lists"/>
      <sheetName val="Fields"/>
      <sheetName val="Version"/>
      <sheetName val="Information"/>
      <sheetName val="MultiSelect"/>
      <sheetName val="Selections"/>
      <sheetName val="Where_Used"/>
      <sheetName val="BOM_Explosion"/>
      <sheetName val="Step_Up"/>
      <sheetName val="Where_Used_In"/>
      <sheetName val="Complete_BOM"/>
    </sheetNames>
    <sheetDataSet>
      <sheetData sheetId="0">
        <row r="7">
          <cell r="I7" t="str">
            <v>Material Number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768.537783217595" createdVersion="6" refreshedVersion="6" minRefreshableVersion="3" recordCount="3">
  <cacheSource type="worksheet">
    <worksheetSource name="SapExlData"/>
  </cacheSource>
  <cacheFields count="92">
    <cacheField name="Primærstatus" numFmtId="0">
      <sharedItems/>
    </cacheField>
    <cacheField name="Fimakode" numFmtId="0">
      <sharedItems/>
    </cacheField>
    <cacheField name="Prisenhet" numFmtId="0">
      <sharedItems containsSemiMixedTypes="0" containsString="0" containsNumber="1" containsInteger="1" minValue="1" maxValue="1"/>
    </cacheField>
    <cacheField name="Betegnelsepåtrans" numFmtId="0">
      <sharedItems containsNonDate="0" containsString="0" containsBlank="1"/>
    </cacheField>
    <cacheField name="Opprinnelsesland" numFmtId="0">
      <sharedItems/>
    </cacheField>
    <cacheField name="Distribusjonskanal" numFmtId="0">
      <sharedItems/>
    </cacheField>
    <cacheField name="Fabrikknavn1" numFmtId="0">
      <sharedItems/>
    </cacheField>
    <cacheField name="Språkkode" numFmtId="0">
      <sharedItems/>
    </cacheField>
    <cacheField name="Materialbesk." numFmtId="0">
      <sharedItems/>
    </cacheField>
    <cacheField name="Materialgrp.navn" numFmtId="0">
      <sharedItems/>
    </cacheField>
    <cacheField name="Materialgrp. 1" numFmtId="0">
      <sharedItems/>
    </cacheField>
    <cacheField name="Materialgrp. 4" numFmtId="0">
      <sharedItems/>
    </cacheField>
    <cacheField name="Materialtypebesk" numFmtId="0">
      <sharedItems/>
    </cacheField>
    <cacheField name="Fabrikknavn" numFmtId="49">
      <sharedItems/>
    </cacheField>
    <cacheField name="Fabrikknavn2" numFmtId="0">
      <sharedItems/>
    </cacheField>
    <cacheField name="Produkthierarki1" numFmtId="0">
      <sharedItems/>
    </cacheField>
    <cacheField name="Innkjøpsgruppe" numFmtId="0">
      <sharedItems/>
    </cacheField>
    <cacheField name="Nivå" numFmtId="0">
      <sharedItems containsSemiMixedTypes="0" containsString="0" containsNumber="1" containsInteger="1" minValue="4" maxValue="4"/>
    </cacheField>
    <cacheField name="kvantumsenhet" numFmtId="0">
      <sharedItems/>
    </cacheField>
    <cacheField name="Salgsorganisasjon" numFmtId="0">
      <sharedItems/>
    </cacheField>
    <cacheField name="Leverandørnavn" numFmtId="0">
      <sharedItems/>
    </cacheField>
    <cacheField name="Firmanavn" numFmtId="0">
      <sharedItems/>
    </cacheField>
    <cacheField name="MRP-partistr1" numFmtId="0">
      <sharedItems containsSemiMixedTypes="0" containsString="0" containsNumber="1" containsInteger="1" minValue="20" maxValue="20"/>
    </cacheField>
    <cacheField name="Betengelse" numFmtId="0">
      <sharedItems/>
    </cacheField>
    <cacheField name="MRP-partistr" numFmtId="0">
      <sharedItems containsSemiMixedTypes="0" containsString="0" containsNumber="1" containsInteger="1" minValue="68" maxValue="68"/>
    </cacheField>
    <cacheField name="Betegnelse (25)" numFmtId="0">
      <sharedItems/>
    </cacheField>
    <cacheField name="MatSt." numFmtId="0">
      <sharedItems containsSemiMixedTypes="0" containsString="0" containsNumber="1" containsInteger="1" minValue="18" maxValue="18"/>
    </cacheField>
    <cacheField name="Sikkerhetstid" numFmtId="0">
      <sharedItems containsSemiMixedTypes="0" containsString="0" containsNumber="1" containsInteger="1" minValue="40" maxValue="40"/>
    </cacheField>
    <cacheField name="Spesialanskaff." numFmtId="0">
      <sharedItems/>
    </cacheField>
    <cacheField name="Materialbesk.1" numFmtId="0">
      <sharedItems/>
    </cacheField>
    <cacheField name="Materialbesk.2" numFmtId="0">
      <sharedItems/>
    </cacheField>
    <cacheField name="Materialtypenavn1" numFmtId="0">
      <sharedItems/>
    </cacheField>
    <cacheField name="Materialtypenavn2" numFmtId="0">
      <sharedItems/>
    </cacheField>
    <cacheField name="Primærstatus1" numFmtId="0">
      <sharedItems/>
    </cacheField>
    <cacheField name="MatSt.1" numFmtId="0">
      <sharedItems containsSemiMixedTypes="0" containsString="0" containsNumber="1" containsInteger="1" minValue="8" maxValue="8"/>
    </cacheField>
    <cacheField name="Posisjonskategori" numFmtId="0">
      <sharedItems count="1">
        <s v="NORM"/>
      </sharedItems>
    </cacheField>
    <cacheField name="Spesialanskaff.1" numFmtId="0">
      <sharedItems/>
    </cacheField>
    <cacheField name="Spesialanskaff.2" numFmtId="0">
      <sharedItems/>
    </cacheField>
    <cacheField name="Vare./importkodenr" numFmtId="0">
      <sharedItems containsSemiMixedTypes="0" containsString="0" containsNumber="1" containsInteger="1" minValue="21039099" maxValue="21039099"/>
    </cacheField>
    <cacheField name="Vare./importkodenr1" numFmtId="0">
      <sharedItems containsSemiMixedTypes="0" containsString="0" containsNumber="1" containsInteger="1" minValue="7129020" maxValue="7129020" count="1">
        <n v="7129020"/>
      </sharedItems>
    </cacheField>
    <cacheField name="ZTEXT30" numFmtId="0">
      <sharedItems/>
    </cacheField>
    <cacheField name="ZTEXT30_1" numFmtId="0">
      <sharedItems/>
    </cacheField>
    <cacheField name="ZTEXT40" numFmtId="0">
      <sharedItems/>
    </cacheField>
    <cacheField name="ZTEXTXL" numFmtId="0">
      <sharedItems/>
    </cacheField>
    <cacheField name="Basiskvantumsenhet" numFmtId="0">
      <sharedItems/>
    </cacheField>
    <cacheField name="Valuta" numFmtId="0">
      <sharedItems/>
    </cacheField>
    <cacheField name="Lokal valuta" numFmtId="0">
      <sharedItems/>
    </cacheField>
    <cacheField name="Kvantumsenhet1" numFmtId="0">
      <sharedItems/>
    </cacheField>
    <cacheField name="Fabrikk1" numFmtId="0">
      <sharedItems/>
    </cacheField>
    <cacheField name="Språk" numFmtId="0">
      <sharedItems/>
    </cacheField>
    <cacheField name="Material" numFmtId="0">
      <sharedItems containsSemiMixedTypes="0" containsString="0" containsNumber="1" containsInteger="1" minValue="115936" maxValue="115936"/>
    </cacheField>
    <cacheField name="Materialgrp." numFmtId="0">
      <sharedItems/>
    </cacheField>
    <cacheField name="Materialtype" numFmtId="0">
      <sharedItems/>
    </cacheField>
    <cacheField name="Fabrikk" numFmtId="0">
      <sharedItems count="1">
        <s v="AR00"/>
      </sharedItems>
    </cacheField>
    <cacheField name="Fabrikk2" numFmtId="0">
      <sharedItems count="1">
        <s v="AR00"/>
      </sharedItems>
    </cacheField>
    <cacheField name="Produkthier" numFmtId="2">
      <sharedItems containsSemiMixedTypes="0" containsString="0" containsNumber="1" containsInteger="1" minValue="400600030201" maxValue="400600030201"/>
    </cacheField>
    <cacheField name="Leverandørkode" numFmtId="0">
      <sharedItems containsSemiMixedTypes="0" containsString="0" containsNumber="1" containsInteger="1" minValue="18846" maxValue="18846"/>
    </cacheField>
    <cacheField name="Material1" numFmtId="0">
      <sharedItems containsSemiMixedTypes="0" containsString="0" containsNumber="1" containsInteger="1" minValue="602771" maxValue="602771"/>
    </cacheField>
    <cacheField name="Material2" numFmtId="0">
      <sharedItems containsSemiMixedTypes="0" containsString="0" containsNumber="1" containsInteger="1" minValue="20009" maxValue="20009"/>
    </cacheField>
    <cacheField name="Mtyp1" numFmtId="0">
      <sharedItems/>
    </cacheField>
    <cacheField name="Mtyp2" numFmtId="0">
      <sharedItems count="3">
        <s v="ZMIX"/>
        <s v="ZHAL"/>
        <s v="ZHAW"/>
      </sharedItems>
    </cacheField>
    <cacheField name="Avrundingsverdi" numFmtId="0">
      <sharedItems containsSemiMixedTypes="0" containsString="0" containsNumber="1" containsInteger="1" minValue="0" maxValue="2880"/>
    </cacheField>
    <cacheField name="Budsj.pris1" numFmtId="0">
      <sharedItems containsSemiMixedTypes="0" containsString="0" containsNumber="1" containsInteger="1" minValue="0" maxValue="0"/>
    </cacheField>
    <cacheField name="Gl.gjsn.pris" numFmtId="0">
      <sharedItems containsSemiMixedTypes="0" containsString="0" containsNumber="1" minValue="0" maxValue="23707.75"/>
    </cacheField>
    <cacheField name="Kvabeh_Mat" numFmtId="1">
      <sharedItems containsSemiMixedTypes="0" containsString="0" containsNumber="1" containsInteger="1" minValue="0" maxValue="262"/>
    </cacheField>
    <cacheField name="Kvantum_Mat" numFmtId="1">
      <sharedItems containsSemiMixedTypes="0" containsString="0" containsNumber="1" containsInteger="1" minValue="0" maxValue="1"/>
    </cacheField>
    <cacheField name="Kvantum_Mat1" numFmtId="2">
      <sharedItems containsSemiMixedTypes="0" containsString="0" containsNumber="1" minValue="0" maxValue="1.7999999999999999E-2"/>
    </cacheField>
    <cacheField name="Nettopris" numFmtId="2">
      <sharedItems containsSemiMixedTypes="0" containsString="0" containsNumber="1" minValue="0" maxValue="2.88"/>
    </cacheField>
    <cacheField name="Pris" numFmtId="2">
      <sharedItems containsSemiMixedTypes="0" containsString="0" containsNumber="1" minValue="0" maxValue="3.19"/>
    </cacheField>
    <cacheField name="QuaCurrYear_Mat" numFmtId="1">
      <sharedItems containsSemiMixedTypes="0" containsString="0" containsNumber="1" containsInteger="1" minValue="0" maxValue="0"/>
    </cacheField>
    <cacheField name="QuaLastYeat_Mat" numFmtId="0">
      <sharedItems containsSemiMixedTypes="0" containsString="0" containsNumber="1" containsInteger="1" minValue="0" maxValue="0"/>
    </cacheField>
    <cacheField name="Kvantum_Mat2" numFmtId="0">
      <sharedItems containsSemiMixedTypes="0" containsString="0" containsNumber="1" minValue="0" maxValue="5.0000000000000001E-3"/>
    </cacheField>
    <cacheField name="Budsj.pris2" numFmtId="0">
      <sharedItems containsSemiMixedTypes="0" containsString="0" containsNumber="1" containsInteger="1" minValue="0" maxValue="0"/>
    </cacheField>
    <cacheField name="Hide Zeros" numFmtId="14">
      <sharedItems count="1">
        <s v="Only Zero"/>
      </sharedItems>
    </cacheField>
    <cacheField name="Origin" numFmtId="0">
      <sharedItems count="1">
        <s v="CN"/>
      </sharedItems>
    </cacheField>
    <cacheField name="Kva_ZFER" numFmtId="1">
      <sharedItems containsSemiMixedTypes="0" containsString="0" containsNumber="1" containsInteger="1" minValue="0" maxValue="0"/>
    </cacheField>
    <cacheField name="Kvantum1" numFmtId="1">
      <sharedItems containsSemiMixedTypes="0" containsString="0" containsNumber="1" containsInteger="1" minValue="0" maxValue="0"/>
    </cacheField>
    <cacheField name="Kva_Beh1" numFmtId="1">
      <sharedItems containsSemiMixedTypes="0" containsString="0" containsNumber="1" containsInteger="1" minValue="0" maxValue="0"/>
    </cacheField>
    <cacheField name="Kvantum2" numFmtId="1">
      <sharedItems containsSemiMixedTypes="0" containsString="0" containsNumber="1" containsInteger="1" minValue="0" maxValue="0"/>
    </cacheField>
    <cacheField name="Kva_beh2" numFmtId="1">
      <sharedItems containsSemiMixedTypes="0" containsString="0" containsNumber="1" minValue="0" maxValue="1.31"/>
    </cacheField>
    <cacheField name="Curr Help" numFmtId="0">
      <sharedItems containsSemiMixedTypes="0" containsString="0" containsNumber="1" containsInteger="1" minValue="1" maxValue="1"/>
    </cacheField>
    <cacheField name="Verdi1" numFmtId="0">
      <sharedItems containsSemiMixedTypes="0" containsString="0" containsNumber="1" containsInteger="1" minValue="0" maxValue="0"/>
    </cacheField>
    <cacheField name="Verdi2" numFmtId="0">
      <sharedItems containsSemiMixedTypes="0" containsString="0" containsNumber="1" containsInteger="1" minValue="0" maxValue="0"/>
    </cacheField>
    <cacheField name="Product Group(MG1)" numFmtId="0">
      <sharedItems/>
    </cacheField>
    <cacheField name="Brand(MG4)" numFmtId="0">
      <sharedItems/>
    </cacheField>
    <cacheField name="Prod_Hier" numFmtId="1">
      <sharedItems containsSemiMixedTypes="0" containsString="0" containsNumber="1" containsInteger="1" minValue="400600030201" maxValue="400600030201"/>
    </cacheField>
    <cacheField name="Produkthierarki" numFmtId="0">
      <sharedItems count="1">
        <s v="SAUS, PASTØS, SH"/>
      </sharedItems>
    </cacheField>
    <cacheField name="Leverandør" numFmtId="0">
      <sharedItems count="1">
        <s v="018846 Shanghai Richfield Intern. Trade Co"/>
      </sharedItems>
    </cacheField>
    <cacheField name="Materialgruppe" numFmtId="0">
      <sharedItems count="1">
        <s v="RM0430 Grønnsaker, Tørt"/>
      </sharedItems>
    </cacheField>
    <cacheField name="Materialnavn" numFmtId="0">
      <sharedItems count="1">
        <s v="115936 Toro Estragonsaus kremet pastøs 2bx/7L"/>
      </sharedItems>
    </cacheField>
    <cacheField name="Materialnavn1" numFmtId="0">
      <sharedItems count="1">
        <s v="602771 KBL KREMET ESTRAGONSAUS PASTA"/>
      </sharedItems>
    </cacheField>
    <cacheField name="Materialnavn2" numFmtId="0">
      <sharedItems count="1">
        <s v="020009 Hvitløkpulv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s v="Ikke tilordnet"/>
    <s v="Stabburet AS"/>
    <n v="1"/>
    <m/>
    <s v="CN"/>
    <s v="Dagligvare"/>
    <s v="Arna"/>
    <s v="Norsk"/>
    <s v="Toro Estragonsaus kremet pastøs 2bx/7L"/>
    <s v="Grønnsaker, Tørt"/>
    <s v="Ikke tilordnet"/>
    <s v="Ikke tilordnet"/>
    <s v="Ferdigvare OFN Pricat"/>
    <s v="Arna"/>
    <s v="Arna"/>
    <s v="SAUS, PASTØS, SH"/>
    <s v="Edward Sundt."/>
    <n v="4"/>
    <s v="KG"/>
    <s v="Orkla Foods Norge AS"/>
    <s v="Shanghai Richfield Intern. Trade Co"/>
    <s v="Shanghai Richfield Intern. Trade Co"/>
    <n v="20"/>
    <s v="Ikke tilordnet"/>
    <n v="68"/>
    <s v="Vegetables Dry"/>
    <n v="18"/>
    <n v="40"/>
    <s v="Ikke tilordnet"/>
    <s v="KBL KREMET ESTRAGONSAUS PASTA"/>
    <s v="Hvitløkpulver"/>
    <s v="Blandinger OFN"/>
    <s v="Råvarer OFN"/>
    <s v="Ikke tilordnet"/>
    <n v="8"/>
    <x v="0"/>
    <s v="Ikke tilordnet"/>
    <s v="Ikke tilordnet"/>
    <n v="21039099"/>
    <x v="0"/>
    <s v="Ikke tilordnet"/>
    <s v="Ikke tilordnet"/>
    <s v="Ikke tilordnet"/>
    <s v="Ikke tilordnet"/>
    <s v="Stykk"/>
    <s v="US dollar"/>
    <s v="US dollar"/>
    <s v="kg"/>
    <s v="AR00"/>
    <s v="NO"/>
    <n v="115936"/>
    <s v="RM0430"/>
    <s v="ZFER"/>
    <x v="0"/>
    <x v="0"/>
    <n v="400600030201"/>
    <n v="18846"/>
    <n v="602771"/>
    <n v="20009"/>
    <s v="ZMIX"/>
    <x v="0"/>
    <n v="0"/>
    <n v="0"/>
    <n v="23707.75"/>
    <n v="0"/>
    <n v="0"/>
    <n v="0"/>
    <n v="2.88"/>
    <n v="3.19"/>
    <n v="0"/>
    <n v="0"/>
    <n v="0"/>
    <n v="0"/>
    <x v="0"/>
    <x v="0"/>
    <n v="0"/>
    <n v="0"/>
    <n v="0"/>
    <n v="0"/>
    <n v="0"/>
    <n v="1"/>
    <n v="0"/>
    <n v="0"/>
    <s v="Ikke tilordnet Vegetables Dry"/>
    <s v="Shanghai Richfield Intern. Trade Co"/>
    <n v="400600030201"/>
    <x v="0"/>
    <x v="0"/>
    <x v="0"/>
    <x v="0"/>
    <x v="0"/>
    <x v="0"/>
  </r>
  <r>
    <s v="Ikke tilordnet"/>
    <s v="Stabburet AS"/>
    <n v="1"/>
    <m/>
    <s v="CN"/>
    <s v="Dagligvare"/>
    <s v="Arna"/>
    <s v="Norsk"/>
    <s v="Toro Estragonsaus kremet pastøs 2bx/7L"/>
    <s v="Grønnsaker, Tørt"/>
    <s v="Ikke tilordnet"/>
    <s v="Ikke tilordnet"/>
    <s v="Ferdigvare OFN Pricat"/>
    <s v="Arna"/>
    <s v="Arna"/>
    <s v="SAUS, PASTØS, SH"/>
    <s v="Edward Sundt."/>
    <n v="4"/>
    <s v="KG"/>
    <s v="Orkla Foods Norge AS"/>
    <s v="Shanghai Richfield Intern. Trade Co"/>
    <s v="Shanghai Richfield Intern. Trade Co"/>
    <n v="20"/>
    <s v="Ikke tilordnet"/>
    <n v="68"/>
    <s v="Vegetables Dry"/>
    <n v="18"/>
    <n v="40"/>
    <s v="Ikke tilordnet"/>
    <s v="KBL KREMET ESTRAGONSAUS PASTA"/>
    <s v="Hvitløkpulver"/>
    <s v="Blandinger OFN"/>
    <s v="Råvarer OFN"/>
    <s v="Ikke tilordnet"/>
    <n v="8"/>
    <x v="0"/>
    <s v="Ikke tilordnet"/>
    <s v="Ikke tilordnet"/>
    <n v="21039099"/>
    <x v="0"/>
    <s v="Ikke tilordnet"/>
    <s v="Ikke tilordnet"/>
    <s v="Ikke tilordnet"/>
    <s v="Ikke tilordnet"/>
    <s v="Stykk"/>
    <s v="US dollar"/>
    <s v="US dollar"/>
    <s v="kg"/>
    <s v="AR00"/>
    <s v="NO"/>
    <n v="115936"/>
    <s v="RM0430"/>
    <s v="ZFER"/>
    <x v="0"/>
    <x v="0"/>
    <n v="400600030201"/>
    <n v="18846"/>
    <n v="602771"/>
    <n v="20009"/>
    <s v="ZHAL"/>
    <x v="1"/>
    <n v="0"/>
    <n v="0"/>
    <n v="0"/>
    <n v="0"/>
    <n v="0"/>
    <n v="1.7999999999999999E-2"/>
    <n v="0"/>
    <n v="0"/>
    <n v="0"/>
    <n v="0"/>
    <n v="5.0000000000000001E-3"/>
    <n v="0"/>
    <x v="0"/>
    <x v="0"/>
    <n v="0"/>
    <n v="0"/>
    <n v="0"/>
    <n v="0"/>
    <n v="0"/>
    <n v="1"/>
    <n v="0"/>
    <n v="0"/>
    <s v="Ikke tilordnet Vegetables Dry"/>
    <s v="Shanghai Richfield Intern. Trade Co"/>
    <n v="400600030201"/>
    <x v="0"/>
    <x v="0"/>
    <x v="0"/>
    <x v="0"/>
    <x v="0"/>
    <x v="0"/>
  </r>
  <r>
    <s v="Ikke tilordnet"/>
    <s v="Stabburet AS"/>
    <n v="1"/>
    <m/>
    <s v="CN"/>
    <s v="Dagligvare"/>
    <s v="Arna"/>
    <s v="Norsk"/>
    <s v="Toro Estragonsaus kremet pastøs 2bx/7L"/>
    <s v="Grønnsaker, Tørt"/>
    <s v="Ikke tilordnet"/>
    <s v="Ikke tilordnet"/>
    <s v="Ferdigvare OFN Pricat"/>
    <s v="Arna"/>
    <s v="Arna"/>
    <s v="SAUS, PASTØS, SH"/>
    <s v="Edward Sundt."/>
    <n v="4"/>
    <s v="KG"/>
    <s v="Orkla Foods Norge AS"/>
    <s v="Shanghai Richfield Intern. Trade Co"/>
    <s v="Shanghai Richfield Intern. Trade Co"/>
    <n v="20"/>
    <s v="Ikke tilordnet"/>
    <n v="68"/>
    <s v="Vegetables Dry"/>
    <n v="18"/>
    <n v="40"/>
    <s v="Ikke tilordnet"/>
    <s v="KBL KREMET ESTRAGONSAUS PASTA"/>
    <s v="Hvitløkpulver"/>
    <s v="Blandinger OFN"/>
    <s v="Råvarer OFN"/>
    <s v="Ikke tilordnet"/>
    <n v="8"/>
    <x v="0"/>
    <s v="Ikke tilordnet"/>
    <s v="Ikke tilordnet"/>
    <n v="21039099"/>
    <x v="0"/>
    <s v="Ikke tilordnet"/>
    <s v="Ikke tilordnet"/>
    <s v="Ikke tilordnet"/>
    <s v="Ikke tilordnet"/>
    <s v="Stykk"/>
    <s v="US dollar"/>
    <s v="US dollar"/>
    <s v="kg"/>
    <s v="AR00"/>
    <s v="NO"/>
    <n v="115936"/>
    <s v="RM0430"/>
    <s v="ZFER"/>
    <x v="0"/>
    <x v="0"/>
    <n v="400600030201"/>
    <n v="18846"/>
    <n v="602771"/>
    <n v="20009"/>
    <s v="ZHAW"/>
    <x v="2"/>
    <n v="2880"/>
    <n v="0"/>
    <n v="0"/>
    <n v="262"/>
    <n v="1"/>
    <n v="0"/>
    <n v="0"/>
    <n v="0"/>
    <n v="0"/>
    <n v="0"/>
    <n v="5.0000000000000001E-3"/>
    <n v="0"/>
    <x v="0"/>
    <x v="0"/>
    <n v="0"/>
    <n v="0"/>
    <n v="0"/>
    <n v="0"/>
    <n v="1.31"/>
    <n v="1"/>
    <n v="0"/>
    <n v="0"/>
    <s v="Ikke tilordnet Vegetables Dry"/>
    <s v="Shanghai Richfield Intern. Trade Co"/>
    <n v="400600030201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2" autoFormatId="4109" applyNumberFormats="1" applyBorderFormats="1" applyFontFormats="1" applyPatternFormats="1" applyAlignmentFormats="1" applyWidthHeightFormats="1" dataCaption="Data" updatedVersion="6" showMemberPropertyTips="0" useAutoFormatting="1" itemPrintTitles="1" createdVersion="1" indent="0" compact="0" compactData="0" gridDropZones="1">
  <location ref="A14:E17" firstHeaderRow="0" firstDataRow="1" firstDataCol="2" rowPageCount="7" colPageCount="1"/>
  <pivotFields count="92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numFmtId="2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2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Hide Zeros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</pivotFields>
  <rowFields count="2">
    <field x="91"/>
    <field x="89"/>
  </rowFields>
  <rowItems count="3">
    <i>
      <x/>
      <x/>
    </i>
    <i t="blank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7">
    <pageField fld="73" hier="-1"/>
    <pageField fld="87" hier="-1"/>
    <pageField fld="86" hier="-1"/>
    <pageField fld="60" hier="-1"/>
    <pageField fld="88" hier="-1"/>
    <pageField fld="35" hier="-1"/>
    <pageField fld="53" hier="-1"/>
  </pageFields>
  <dataFields count="3">
    <dataField name="Kva_beh2 " fld="79" baseField="90" baseItem="0" numFmtId="3"/>
    <dataField name="Kvantum2 " fld="78" baseField="90" baseItem="0" numFmtId="3"/>
    <dataField name="Verdi2 " fld="82" baseField="90" baseItem="0" numFmtId="3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32" autoFormatId="4109" applyNumberFormats="1" applyBorderFormats="1" applyFontFormats="1" applyPatternFormats="1" applyAlignmentFormats="1" applyWidthHeightFormats="1" dataCaption="Data" updatedVersion="6" showMemberPropertyTips="0" useAutoFormatting="1" itemPrintTitles="1" createdVersion="1" indent="0" compact="0" compactData="0" gridDropZones="1">
  <location ref="A13:F16" firstHeaderRow="0" firstDataRow="1" firstDataCol="3" rowPageCount="6" colPageCount="1"/>
  <pivotFields count="92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numFmtId="2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2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Hide Zeros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sertBlankRow="1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</pivotFields>
  <rowFields count="3">
    <field x="89"/>
    <field x="91"/>
    <field x="54"/>
  </rowFields>
  <rowItems count="3">
    <i>
      <x/>
      <x/>
      <x/>
    </i>
    <i t="blank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6">
    <pageField fld="73" hier="-1"/>
    <pageField fld="86" hier="-1"/>
    <pageField fld="87" hier="-1"/>
    <pageField fld="90" hier="-1"/>
    <pageField fld="88" hier="-1"/>
    <pageField fld="60" hier="-1"/>
  </pageFields>
  <dataFields count="3">
    <dataField name="Kva_beh2 " fld="79" baseField="55" baseItem="0" numFmtId="3"/>
    <dataField name="Kvantum2 " fld="78" baseField="55" baseItem="0" numFmtId="3"/>
    <dataField name="Verdi2 " fld="82" baseField="55" baseItem="0" numFmtId="3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32" autoFormatId="4109" applyNumberFormats="1" applyBorderFormats="1" applyFontFormats="1" applyPatternFormats="1" applyAlignmentFormats="1" applyWidthHeightFormats="1" dataCaption="Data" updatedVersion="6" showMemberPropertyTips="0" useAutoFormatting="1" itemPrintTitles="1" createdVersion="1" indent="0" compact="0" compactData="0" gridDropZones="1">
  <location ref="A12:J15" firstHeaderRow="0" firstDataRow="1" firstDataCol="7" rowPageCount="3" colPageCount="1"/>
  <pivotFields count="92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numFmtId="2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2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Hide Zeros" axis="axisPage" compact="0" outline="0" subtotalTop="0" showAll="0" includeNewItemsInFilter="1">
      <items count="2">
        <item x="0"/>
        <item t="default"/>
      </items>
    </pivotField>
    <pivotField name="Origin" axis="axisRow" compact="0" outline="0" subtotalTop="0" showAll="0" includeNewItemsInFilter="1" defaultSubtotal="0">
      <items count="1">
        <item x="0"/>
      </items>
    </pivotField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</pivotFields>
  <rowFields count="7">
    <field x="86"/>
    <field x="89"/>
    <field x="91"/>
    <field x="54"/>
    <field x="39"/>
    <field x="74"/>
    <field x="87"/>
  </rowFields>
  <rowItems count="3">
    <i>
      <x/>
      <x/>
      <x/>
      <x/>
      <x/>
      <x/>
      <x/>
    </i>
    <i t="blank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73" hier="-1"/>
    <pageField fld="88" hier="-1"/>
    <pageField fld="60" hier="-1"/>
  </pageFields>
  <dataFields count="3">
    <dataField name="Kva_beh2 " fld="79" baseField="88" baseItem="0" numFmtId="3"/>
    <dataField name="Kvantum2 " fld="78" baseField="88" baseItem="0" numFmtId="3"/>
    <dataField name="Verdi2 " fld="82" baseField="88" baseItem="0" numFmtId="3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32" autoFormatId="4109" applyNumberFormats="1" applyBorderFormats="1" applyFontFormats="1" applyPatternFormats="1" applyAlignmentFormats="1" applyWidthHeightFormats="1" dataCaption="Data" updatedVersion="6" showMemberPropertyTips="0" useAutoFormatting="1" itemPrintTitles="1" createdVersion="1" indent="0" compact="0" compactData="0" gridDropZones="1">
  <location ref="A15:E17" firstHeaderRow="0" firstDataRow="1" firstDataCol="1" rowPageCount="7" colPageCount="1"/>
  <pivotFields count="92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numFmtId="2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2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Hide Zeros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dataField="1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</pivotFields>
  <rowFields count="1">
    <field x="91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7">
    <pageField fld="73" hier="-1"/>
    <pageField fld="86" hier="-1"/>
    <pageField fld="88" hier="-1"/>
    <pageField fld="60" hier="-1"/>
    <pageField fld="35" hier="-1"/>
    <pageField fld="53" hier="-1"/>
    <pageField fld="89" hier="-1"/>
  </pageFields>
  <dataFields count="4">
    <dataField name="Kva_beh2 " fld="79" baseField="92" baseItem="0" numFmtId="3"/>
    <dataField name="Kvantum2 " fld="78" baseField="92" baseItem="0" numFmtId="3"/>
    <dataField name="Verdi2 " fld="82" baseField="92" baseItem="0" numFmtId="3"/>
    <dataField name="Count of Materialnavn" fld="89" subtotal="count" baseField="0" baseItem="0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32" autoFormatId="4109" applyNumberFormats="1" applyBorderFormats="1" applyFontFormats="1" applyPatternFormats="1" applyAlignmentFormats="1" applyWidthHeightFormats="1" dataCaption="Data" updatedVersion="6" showMemberPropertyTips="0" useAutoFormatting="1" rowGrandTotals="0" itemPrintTitles="1" createdVersion="1" indent="0" compact="0" compactData="0" gridDropZones="1">
  <location ref="A11:H15" firstHeaderRow="0" firstDataRow="1" firstDataCol="5" rowPageCount="2" colPageCount="1"/>
  <pivotFields count="92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numFmtId="2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2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Hide Zeros"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</pivotFields>
  <rowFields count="5">
    <field x="89"/>
    <field x="90"/>
    <field x="60"/>
    <field x="91"/>
    <field x="54"/>
  </rowFields>
  <rowItems count="4">
    <i>
      <x/>
      <x/>
      <x/>
      <x/>
      <x/>
    </i>
    <i r="2">
      <x v="1"/>
      <x/>
      <x/>
    </i>
    <i r="2">
      <x v="2"/>
      <x/>
      <x/>
    </i>
    <i t="blank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3" hier="-1"/>
    <pageField fld="86" hier="-1"/>
  </pageFields>
  <dataFields count="3">
    <dataField name="Kva_beh2 " fld="79" baseField="55" baseItem="0" numFmtId="3"/>
    <dataField name="Kvantum2 " fld="78" baseField="55" baseItem="0" numFmtId="3"/>
    <dataField name="Verdi2 " fld="82" baseField="55" baseItem="0" numFmtId="3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CN4" totalsRowShown="0" headerRowDxfId="50">
  <autoFilter ref="A1:CN4"/>
  <tableColumns count="92">
    <tableColumn id="2" name="Primærstatus"/>
    <tableColumn id="3" name="Fimakode"/>
    <tableColumn id="4" name="Prisenhet"/>
    <tableColumn id="5" name="Betegnelsepåtrans"/>
    <tableColumn id="6" name="Opprinnelsesland"/>
    <tableColumn id="7" name="Distribusjonskanal"/>
    <tableColumn id="8" name="Fabrikknavn1"/>
    <tableColumn id="9" name="Språkkode"/>
    <tableColumn id="10" name="Materialbesk."/>
    <tableColumn id="11" name="Materialgrp.navn"/>
    <tableColumn id="12" name="Materialgrp. 1"/>
    <tableColumn id="13" name="Materialgrp. 4"/>
    <tableColumn id="14" name="Materialtypebesk"/>
    <tableColumn id="15" name="Fabrikknavn" dataDxfId="49"/>
    <tableColumn id="27" name="Fabrikknavn2" dataDxfId="48"/>
    <tableColumn id="16" name="Produkthierarki1"/>
    <tableColumn id="17" name="Innkjøpsgruppe"/>
    <tableColumn id="18" name="Nivå"/>
    <tableColumn id="1" name="kvantumsenhet"/>
    <tableColumn id="61" name="Salgsorganisasjon"/>
    <tableColumn id="62" name="Leverandørnavn"/>
    <tableColumn id="19" name="Firmanavn"/>
    <tableColumn id="20" name="MRP-partistr1"/>
    <tableColumn id="77" name="Betengelse"/>
    <tableColumn id="68" name="MRP-partistr"/>
    <tableColumn id="22" name="Betegnelse (25)"/>
    <tableColumn id="23" name="MatSt."/>
    <tableColumn id="25" name="Sikkerhetstid"/>
    <tableColumn id="26" name="Spesialanskaff."/>
    <tableColumn id="29" name="Materialbesk.1"/>
    <tableColumn id="30" name="Materialbesk.2"/>
    <tableColumn id="31" name="Materialtypenavn1"/>
    <tableColumn id="45" name="Materialtypenavn2"/>
    <tableColumn id="46" name="Primærstatus1"/>
    <tableColumn id="47" name="MatSt.1"/>
    <tableColumn id="48" name="Posisjonskategori" dataDxfId="47"/>
    <tableColumn id="49" name="Spesialanskaff.1" dataDxfId="46"/>
    <tableColumn id="50" name="Spesialanskaff.2" dataDxfId="45"/>
    <tableColumn id="51" name="Vare./importkodenr"/>
    <tableColumn id="52" name="Vare./importkodenr1" dataDxfId="44"/>
    <tableColumn id="53" name="ZTEXT30"/>
    <tableColumn id="54" name="ZTEXT30_1"/>
    <tableColumn id="55" name="ZTEXT40"/>
    <tableColumn id="56" name="ZTEXTXL"/>
    <tableColumn id="57" name="Basiskvantumsenhet"/>
    <tableColumn id="58" name="Valuta"/>
    <tableColumn id="59" name="Lokal valuta"/>
    <tableColumn id="60" name="Kvantumsenhet1"/>
    <tableColumn id="86" name="Fabrikk1"/>
    <tableColumn id="64" name="Språk"/>
    <tableColumn id="32" name="Material"/>
    <tableColumn id="44" name="Materialgrp."/>
    <tableColumn id="34" name="Materialtype"/>
    <tableColumn id="84" name="Fabrikk"/>
    <tableColumn id="87" name="Fabrikk2"/>
    <tableColumn id="83" name="Produkthier" dataDxfId="43"/>
    <tableColumn id="33" name="Leverandørkode"/>
    <tableColumn id="79" name="Material1"/>
    <tableColumn id="80" name="Material2"/>
    <tableColumn id="74" name="Mtyp1"/>
    <tableColumn id="76" name="Mtyp2"/>
    <tableColumn id="85" name="Avrundingsverdi"/>
    <tableColumn id="82" name="Budsj.pris1"/>
    <tableColumn id="81" name="Gl.gjsn.pris"/>
    <tableColumn id="94" name="Kvabeh_Mat" dataDxfId="42"/>
    <tableColumn id="93" name="Kvantum_Mat" dataDxfId="2"/>
    <tableColumn id="92" name="Kvantum_Mat1" dataDxfId="0"/>
    <tableColumn id="91" name="Nettopris" dataDxfId="1"/>
    <tableColumn id="90" name="Pris" dataDxfId="3"/>
    <tableColumn id="89" name="QuaCurrYear_Mat" dataDxfId="4"/>
    <tableColumn id="28" name="QuaLastYeat_Mat" dataDxfId="41"/>
    <tableColumn id="66" name="Kvantum_Mat2" dataDxfId="40"/>
    <tableColumn id="78" name="Budsj.pris2" dataDxfId="39"/>
    <tableColumn id="24" name="Hide Zeros" dataDxfId="38">
      <calculatedColumnFormula>IF(AY2&lt;&gt;AY1,IF(AND(BX2=0,CB2=0),"Only Zero","Not Zero"),OFFSET(BW2,-1,-1))</calculatedColumnFormula>
    </tableColumn>
    <tableColumn id="35" name="Origin" dataDxfId="37">
      <calculatedColumnFormula>IF(SapExlData[Opprinnelsesland]=""," ",SapExlData[Opprinnelsesland])</calculatedColumnFormula>
    </tableColumn>
    <tableColumn id="36" name="Kva_ZFER" dataDxfId="36">
      <calculatedColumnFormula>IF(AY2&lt;&gt;AY1,IF(LinkQty=1,(SapExlData[QuaLastYeat_Mat]+SapExlData[QuaCurrYear_Mat]),SapExlData[Kvabeh_Mat]),0)</calculatedColumnFormula>
    </tableColumn>
    <tableColumn id="37" name="Kvantum1" dataDxfId="35">
      <calculatedColumnFormula>IF((SapExlData[Kvantum_Mat]*SapExlData[Kvantum_Mat1])&lt;&gt;0,(SapExlData[QuaLastYeat_Mat]+SapExlData[QuaCurrYear_Mat])/SapExlData[Kvantum_Mat]*SapExlData[Kvantum_Mat1],0)</calculatedColumnFormula>
    </tableColumn>
    <tableColumn id="75" name="Kva_Beh1" dataDxfId="34">
      <calculatedColumnFormula>IF((SapExlData[Kvantum_Mat]*SapExlData[Kvantum_Mat1])&lt;&gt;0,(SapExlData[Kvabeh_Mat])/SapExlData[Kvantum_Mat]*SapExlData[Kvantum_Mat1],0)</calculatedColumnFormula>
    </tableColumn>
    <tableColumn id="38" name="Kvantum2" dataDxfId="33">
      <calculatedColumnFormula>IF((SapExlData[Kvantum_Mat]*SapExlData[Kvantum_Mat2])&lt;&gt;0,(SapExlData[Kvantum1])/SapExlData[Kvantum_Mat]*SapExlData[Kvantum_Mat2],0)</calculatedColumnFormula>
    </tableColumn>
    <tableColumn id="39" name="Kva_beh2" dataDxfId="32">
      <calculatedColumnFormula>IF((SapExlData[Kvantum_Mat]*SapExlData[Kvantum_Mat2])&lt;&gt;0,(SapExlData[Kvabeh_Mat])/SapExlData[Kvantum_Mat]*SapExlData[Kvantum_Mat2],0)</calculatedColumnFormula>
    </tableColumn>
    <tableColumn id="40" name="Curr Help" dataDxfId="31">
      <calculatedColumnFormula>IF(SapExlData[Distribusjonskanal]="",IF(OFFSET(SapExlData[Kvabeh_Mat],-1,0)&lt;&gt;OFFSET(SapExlData[Kvantum_Mat],-1,0),"Restet","Fullevert"),IF(OFFSET(SapExlData[Kvabeh_Mat],-1,0)&lt;&gt;OFFSET(SapExlData[Nettopris],-1,0),"Restet","Fullevert"))</calculatedColumnFormula>
    </tableColumn>
    <tableColumn id="41" name="Verdi1" dataDxfId="30">
      <calculatedColumnFormula>IF(LinkQty=1,BY2,BZ2)*IF(LinkPrices=1,SapExlData[Budsj.pris1],IF(LinkPrices=2,SapExlData[Gl.gjsn.pris],SapExlData[Budsj.pris2]))/1000*1</calculatedColumnFormula>
    </tableColumn>
    <tableColumn id="21" name="Verdi2" dataDxfId="29">
      <calculatedColumnFormula>IF(LinkQty=1,CA2,CB2)*IF(LinkPrices=1,SapExlData[Budsj.pris1],IF(LinkPrices=2,SapExlData[Gl.gjsn.pris],SapExlData[Budsj.pris2]))/1000*1</calculatedColumnFormula>
    </tableColumn>
    <tableColumn id="43" name="Product Group(MG1)" dataDxfId="28">
      <calculatedColumnFormula>SapExlData[Materialgrp. 1]&amp;" "&amp;SapExlData[Betegnelse (25)]</calculatedColumnFormula>
    </tableColumn>
    <tableColumn id="42" name="Brand(MG4)" dataDxfId="27">
      <calculatedColumnFormula>SapExlData[Firmanavn]</calculatedColumnFormula>
    </tableColumn>
    <tableColumn id="65" name="Prod_Hier" dataDxfId="26">
      <calculatedColumnFormula>SapExlData[Produkthier]</calculatedColumnFormula>
    </tableColumn>
    <tableColumn id="67" name="Produkthierarki" dataDxfId="25">
      <calculatedColumnFormula>SapExlData[Produkthierarki1]</calculatedColumnFormula>
    </tableColumn>
    <tableColumn id="69" name="Leverandør" dataDxfId="24">
      <calculatedColumnFormula>TEXT(SapExlData[Leverandørkode],"000000")&amp;" "&amp;SapExlData[Leverandørnavn]</calculatedColumnFormula>
    </tableColumn>
    <tableColumn id="70" name="Materialgruppe" dataDxfId="23">
      <calculatedColumnFormula>SapExlData[Materialgrp.]&amp;" "&amp;SapExlData[Materialgrp.navn]</calculatedColumnFormula>
    </tableColumn>
    <tableColumn id="71" name="Materialnavn" dataDxfId="22">
      <calculatedColumnFormula>TEXT(SapExlData[Material],"000000")&amp;" "&amp;SapExlData[Materialbesk.]</calculatedColumnFormula>
    </tableColumn>
    <tableColumn id="72" name="Materialnavn1" dataDxfId="21">
      <calculatedColumnFormula>TEXT(SapExlData[Material1],"000000")&amp;" "&amp;SapExlData[Materialbesk.1]</calculatedColumnFormula>
    </tableColumn>
    <tableColumn id="73" name="Materialnavn2" dataDxfId="20">
      <calculatedColumnFormula>TEXT(SapExlData[Material2],"000000")&amp;" "&amp;SapExlData[Materialbesk.2]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changeRates" displayName="ExchangeRates" ref="A1:D14" totalsRowShown="0" headerRowDxfId="19">
  <autoFilter ref="A1:D14"/>
  <tableColumns count="4">
    <tableColumn id="1" name="From"/>
    <tableColumn id="2" name="To"/>
    <tableColumn id="3" name="Valid from" dataDxfId="18"/>
    <tableColumn id="4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Comments" displayName="Comments" ref="A1:C106" totalsRowShown="0">
  <autoFilter ref="A1:C106"/>
  <tableColumns count="3">
    <tableColumn id="1" name="Material"/>
    <tableColumn id="2" name="Comment"/>
    <tableColumn id="3" name="AvailibleDate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escriptions" displayName="Descriptions" ref="A1:B87" totalsRowShown="0" headerRowDxfId="16" dataDxfId="15" dataCellStyle="Normal 2">
  <autoFilter ref="A1:B87"/>
  <tableColumns count="2">
    <tableColumn id="1" name="FieldName" dataDxfId="14" dataCellStyle="Normal 2"/>
    <tableColumn id="2" name="Description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2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1">
      <xmlColumnPr mapId="1" xpath="/XtraSerializer/@VariantID" xmlDataType="integer"/>
    </tableColumn>
    <tableColumn id="4" uniqueName="SheetName" name="SheetName" dataDxfId="10">
      <xmlColumnPr mapId="1" xpath="/XtraSerializer/property/@SheetName" xmlDataType="string"/>
    </tableColumn>
    <tableColumn id="5" uniqueName="TableName" name="TableName" dataDxfId="9">
      <xmlColumnPr mapId="1" xpath="/XtraSerializer/property/@TableName" xmlDataType="string"/>
    </tableColumn>
    <tableColumn id="6" uniqueName="Seq" name="Seq" dataDxfId="8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7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6">
      <xmlColumnPr mapId="1" xpath="/XtraSerializer/property/property/@FieldList" xmlDataType="integer"/>
    </tableColumn>
    <tableColumn id="14" uniqueName="MissingItems" name="MissingItems" dataDxfId="5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CN4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15.21875" bestFit="1" customWidth="1"/>
    <col min="2" max="2" width="15.88671875" bestFit="1" customWidth="1"/>
    <col min="3" max="3" width="12" bestFit="1" customWidth="1"/>
    <col min="4" max="4" width="15.21875" bestFit="1" customWidth="1"/>
    <col min="5" max="5" width="14.33203125" customWidth="1"/>
    <col min="6" max="6" width="15.77734375" bestFit="1" customWidth="1"/>
    <col min="7" max="7" width="14.77734375" customWidth="1"/>
    <col min="8" max="8" width="10.77734375" bestFit="1" customWidth="1"/>
    <col min="9" max="9" width="20.5546875" customWidth="1"/>
    <col min="10" max="10" width="17.21875" bestFit="1" customWidth="1"/>
    <col min="11" max="12" width="16.5546875" bestFit="1" customWidth="1"/>
    <col min="13" max="13" width="15" customWidth="1"/>
    <col min="14" max="14" width="10.44140625" style="9" customWidth="1"/>
    <col min="15" max="15" width="12.88671875" style="9" customWidth="1"/>
    <col min="16" max="16" width="14.77734375" bestFit="1" customWidth="1"/>
    <col min="17" max="17" width="15.6640625" customWidth="1"/>
    <col min="18" max="18" width="7.5546875" bestFit="1" customWidth="1"/>
    <col min="19" max="19" width="14.33203125" customWidth="1"/>
    <col min="20" max="20" width="13.88671875" customWidth="1"/>
    <col min="21" max="21" width="12.109375" customWidth="1"/>
    <col min="22" max="22" width="13.88671875" customWidth="1"/>
    <col min="23" max="23" width="10.44140625" customWidth="1"/>
    <col min="24" max="24" width="12.88671875" customWidth="1"/>
    <col min="25" max="25" width="9.88671875" customWidth="1"/>
    <col min="26" max="26" width="17.21875" bestFit="1" customWidth="1"/>
    <col min="27" max="27" width="11.33203125" customWidth="1"/>
    <col min="28" max="28" width="10.5546875" customWidth="1"/>
    <col min="29" max="29" width="15" customWidth="1"/>
    <col min="30" max="31" width="13.88671875" customWidth="1"/>
    <col min="32" max="33" width="13.88671875" bestFit="1" customWidth="1"/>
    <col min="34" max="34" width="12.6640625" customWidth="1"/>
    <col min="35" max="35" width="11.88671875" customWidth="1"/>
    <col min="36" max="36" width="11.109375" customWidth="1"/>
    <col min="37" max="37" width="17.77734375" bestFit="1" customWidth="1"/>
    <col min="38" max="38" width="15.44140625" customWidth="1"/>
    <col min="39" max="39" width="11.33203125" customWidth="1"/>
    <col min="40" max="40" width="12.44140625" style="36" bestFit="1" customWidth="1"/>
    <col min="41" max="41" width="11" customWidth="1"/>
    <col min="42" max="42" width="13" bestFit="1" customWidth="1"/>
    <col min="43" max="44" width="11" customWidth="1"/>
    <col min="45" max="45" width="14.77734375" bestFit="1" customWidth="1"/>
    <col min="46" max="46" width="13.88671875" bestFit="1" customWidth="1"/>
    <col min="47" max="47" width="15.77734375" customWidth="1"/>
    <col min="48" max="48" width="8.88671875" customWidth="1"/>
    <col min="49" max="49" width="10.5546875" customWidth="1"/>
    <col min="50" max="50" width="11.88671875" customWidth="1"/>
    <col min="51" max="51" width="14.77734375" customWidth="1"/>
    <col min="52" max="52" width="14.6640625" bestFit="1" customWidth="1"/>
    <col min="53" max="53" width="16.21875" customWidth="1"/>
    <col min="54" max="54" width="11.44140625" bestFit="1" customWidth="1"/>
    <col min="55" max="55" width="11.44140625" customWidth="1"/>
    <col min="56" max="56" width="15.77734375" style="40" bestFit="1" customWidth="1"/>
    <col min="57" max="59" width="13.21875" customWidth="1"/>
    <col min="60" max="61" width="9.44140625" bestFit="1" customWidth="1"/>
    <col min="62" max="62" width="18.44140625" bestFit="1" customWidth="1"/>
    <col min="63" max="63" width="13.21875" bestFit="1" customWidth="1"/>
    <col min="64" max="64" width="9.21875" bestFit="1" customWidth="1"/>
    <col min="65" max="65" width="14.88671875" style="29" bestFit="1" customWidth="1"/>
    <col min="66" max="66" width="15" style="29" bestFit="1" customWidth="1"/>
    <col min="67" max="67" width="15" style="40" bestFit="1" customWidth="1"/>
    <col min="68" max="68" width="12.21875" style="40" bestFit="1" customWidth="1"/>
    <col min="69" max="69" width="6.77734375" style="40" bestFit="1" customWidth="1"/>
    <col min="70" max="70" width="19.6640625" style="29" bestFit="1" customWidth="1"/>
    <col min="71" max="71" width="10.33203125" style="36" customWidth="1"/>
    <col min="72" max="73" width="10.33203125" style="29" customWidth="1"/>
    <col min="74" max="74" width="13.21875" style="10" customWidth="1"/>
    <col min="75" max="75" width="14.5546875" style="29" bestFit="1" customWidth="1"/>
    <col min="76" max="76" width="12" style="29" bestFit="1" customWidth="1"/>
    <col min="77" max="77" width="13.5546875" style="29" bestFit="1" customWidth="1"/>
    <col min="78" max="78" width="12.21875" style="29" bestFit="1" customWidth="1"/>
    <col min="79" max="79" width="12.6640625" style="29" bestFit="1" customWidth="1"/>
    <col min="80" max="80" width="12.21875" style="29" bestFit="1" customWidth="1"/>
    <col min="81" max="81" width="12.21875" style="36" bestFit="1" customWidth="1"/>
    <col min="82" max="82" width="9.21875" bestFit="1" customWidth="1"/>
    <col min="83" max="83" width="16.77734375" customWidth="1"/>
    <col min="84" max="84" width="25.88671875" bestFit="1" customWidth="1"/>
    <col min="85" max="85" width="27.77734375" bestFit="1" customWidth="1"/>
    <col min="86" max="86" width="13.5546875" style="29" bestFit="1" customWidth="1"/>
    <col min="87" max="87" width="37.77734375" customWidth="1"/>
    <col min="88" max="88" width="41.21875" bestFit="1" customWidth="1"/>
    <col min="89" max="89" width="23" bestFit="1" customWidth="1"/>
    <col min="90" max="90" width="43.109375" bestFit="1" customWidth="1"/>
    <col min="91" max="91" width="39.44140625" bestFit="1" customWidth="1"/>
    <col min="92" max="92" width="47.21875" customWidth="1"/>
  </cols>
  <sheetData>
    <row r="1" spans="1:92" s="6" customFormat="1" x14ac:dyDescent="0.3">
      <c r="A1" s="6" t="s">
        <v>258</v>
      </c>
      <c r="B1" s="6" t="s">
        <v>259</v>
      </c>
      <c r="C1" s="6" t="s">
        <v>260</v>
      </c>
      <c r="D1" s="6" t="s">
        <v>304</v>
      </c>
      <c r="E1" s="6" t="s">
        <v>261</v>
      </c>
      <c r="F1" s="6" t="s">
        <v>262</v>
      </c>
      <c r="G1" s="6" t="s">
        <v>341</v>
      </c>
      <c r="H1" s="6" t="s">
        <v>263</v>
      </c>
      <c r="I1" s="6" t="s">
        <v>327</v>
      </c>
      <c r="J1" s="6" t="s">
        <v>306</v>
      </c>
      <c r="K1" s="6" t="s">
        <v>265</v>
      </c>
      <c r="L1" s="6" t="s">
        <v>266</v>
      </c>
      <c r="M1" s="6" t="s">
        <v>290</v>
      </c>
      <c r="N1" s="27" t="s">
        <v>289</v>
      </c>
      <c r="O1" s="27" t="s">
        <v>340</v>
      </c>
      <c r="P1" s="6" t="s">
        <v>330</v>
      </c>
      <c r="Q1" s="6" t="s">
        <v>269</v>
      </c>
      <c r="R1" s="6" t="s">
        <v>322</v>
      </c>
      <c r="S1" s="6" t="s">
        <v>270</v>
      </c>
      <c r="T1" s="6" t="s">
        <v>271</v>
      </c>
      <c r="U1" s="6" t="s">
        <v>303</v>
      </c>
      <c r="V1" s="6" t="s">
        <v>273</v>
      </c>
      <c r="W1" s="6" t="s">
        <v>275</v>
      </c>
      <c r="X1" s="6" t="s">
        <v>305</v>
      </c>
      <c r="Y1" s="6" t="s">
        <v>274</v>
      </c>
      <c r="Z1" s="6" t="s">
        <v>276</v>
      </c>
      <c r="AA1" s="6" t="s">
        <v>277</v>
      </c>
      <c r="AB1" s="6" t="s">
        <v>278</v>
      </c>
      <c r="AC1" s="6" t="s">
        <v>279</v>
      </c>
      <c r="AD1" s="6" t="s">
        <v>325</v>
      </c>
      <c r="AE1" s="6" t="s">
        <v>326</v>
      </c>
      <c r="AF1" s="6" t="s">
        <v>310</v>
      </c>
      <c r="AG1" s="6" t="s">
        <v>311</v>
      </c>
      <c r="AH1" s="6" t="s">
        <v>282</v>
      </c>
      <c r="AI1" s="6" t="s">
        <v>283</v>
      </c>
      <c r="AJ1" s="6" t="s">
        <v>321</v>
      </c>
      <c r="AK1" s="6" t="s">
        <v>284</v>
      </c>
      <c r="AL1" s="6" t="s">
        <v>285</v>
      </c>
      <c r="AM1" s="6" t="s">
        <v>319</v>
      </c>
      <c r="AN1" s="37" t="s">
        <v>320</v>
      </c>
      <c r="AO1" s="6" t="s">
        <v>254</v>
      </c>
      <c r="AP1" s="6" t="s">
        <v>255</v>
      </c>
      <c r="AQ1" s="6" t="s">
        <v>256</v>
      </c>
      <c r="AR1" s="6" t="s">
        <v>257</v>
      </c>
      <c r="AS1" s="6" t="s">
        <v>286</v>
      </c>
      <c r="AT1" s="6" t="s">
        <v>227</v>
      </c>
      <c r="AU1" s="6" t="s">
        <v>287</v>
      </c>
      <c r="AV1" s="6" t="s">
        <v>288</v>
      </c>
      <c r="AW1" s="6" t="s">
        <v>343</v>
      </c>
      <c r="AX1" s="6" t="s">
        <v>225</v>
      </c>
      <c r="AY1" s="6" t="s">
        <v>5</v>
      </c>
      <c r="AZ1" s="6" t="s">
        <v>267</v>
      </c>
      <c r="BA1" s="6" t="s">
        <v>268</v>
      </c>
      <c r="BB1" s="6" t="s">
        <v>228</v>
      </c>
      <c r="BC1" s="6" t="s">
        <v>342</v>
      </c>
      <c r="BD1" s="39" t="s">
        <v>291</v>
      </c>
      <c r="BE1" s="6" t="s">
        <v>329</v>
      </c>
      <c r="BF1" s="6" t="s">
        <v>301</v>
      </c>
      <c r="BG1" s="6" t="s">
        <v>302</v>
      </c>
      <c r="BH1" s="6" t="s">
        <v>323</v>
      </c>
      <c r="BI1" s="6" t="s">
        <v>324</v>
      </c>
      <c r="BJ1" s="6" t="s">
        <v>292</v>
      </c>
      <c r="BK1" s="6" t="s">
        <v>293</v>
      </c>
      <c r="BL1" s="6" t="s">
        <v>294</v>
      </c>
      <c r="BM1" s="28" t="s">
        <v>360</v>
      </c>
      <c r="BN1" s="28" t="s">
        <v>356</v>
      </c>
      <c r="BO1" s="39" t="s">
        <v>358</v>
      </c>
      <c r="BP1" s="39" t="s">
        <v>295</v>
      </c>
      <c r="BQ1" s="39" t="s">
        <v>296</v>
      </c>
      <c r="BR1" s="28" t="s">
        <v>361</v>
      </c>
      <c r="BS1" s="41" t="s">
        <v>362</v>
      </c>
      <c r="BT1" s="42" t="s">
        <v>357</v>
      </c>
      <c r="BU1" s="42" t="s">
        <v>359</v>
      </c>
      <c r="BV1" s="17" t="s">
        <v>297</v>
      </c>
      <c r="BW1" s="30" t="s">
        <v>298</v>
      </c>
      <c r="BX1" s="30" t="s">
        <v>337</v>
      </c>
      <c r="BY1" s="30" t="s">
        <v>336</v>
      </c>
      <c r="BZ1" s="30" t="s">
        <v>335</v>
      </c>
      <c r="CA1" s="30" t="s">
        <v>334</v>
      </c>
      <c r="CB1" s="30" t="s">
        <v>333</v>
      </c>
      <c r="CC1" s="65" t="s">
        <v>299</v>
      </c>
      <c r="CD1" s="13" t="s">
        <v>332</v>
      </c>
      <c r="CE1" s="13" t="s">
        <v>331</v>
      </c>
      <c r="CF1" s="13" t="s">
        <v>308</v>
      </c>
      <c r="CG1" s="13" t="s">
        <v>309</v>
      </c>
      <c r="CH1" s="30" t="s">
        <v>300</v>
      </c>
      <c r="CI1" s="13" t="s">
        <v>226</v>
      </c>
      <c r="CJ1" s="13" t="s">
        <v>272</v>
      </c>
      <c r="CK1" s="13" t="s">
        <v>328</v>
      </c>
      <c r="CL1" s="13" t="s">
        <v>264</v>
      </c>
      <c r="CM1" s="13" t="s">
        <v>280</v>
      </c>
      <c r="CN1" s="13" t="s">
        <v>281</v>
      </c>
    </row>
    <row r="2" spans="1:92" x14ac:dyDescent="0.3">
      <c r="A2" t="s">
        <v>230</v>
      </c>
      <c r="B2" t="s">
        <v>231</v>
      </c>
      <c r="C2">
        <v>1</v>
      </c>
      <c r="E2" t="s">
        <v>232</v>
      </c>
      <c r="F2" t="s">
        <v>233</v>
      </c>
      <c r="G2" t="s">
        <v>234</v>
      </c>
      <c r="H2" t="s">
        <v>235</v>
      </c>
      <c r="I2" t="s">
        <v>236</v>
      </c>
      <c r="J2" t="s">
        <v>237</v>
      </c>
      <c r="K2" t="s">
        <v>230</v>
      </c>
      <c r="L2" t="s">
        <v>230</v>
      </c>
      <c r="M2" t="s">
        <v>238</v>
      </c>
      <c r="N2" s="9" t="s">
        <v>234</v>
      </c>
      <c r="O2" t="s">
        <v>234</v>
      </c>
      <c r="P2" t="s">
        <v>239</v>
      </c>
      <c r="Q2" t="s">
        <v>240</v>
      </c>
      <c r="R2">
        <v>4</v>
      </c>
      <c r="S2" t="s">
        <v>241</v>
      </c>
      <c r="T2" t="s">
        <v>242</v>
      </c>
      <c r="U2" t="s">
        <v>243</v>
      </c>
      <c r="V2" t="s">
        <v>243</v>
      </c>
      <c r="W2">
        <v>20</v>
      </c>
      <c r="X2" t="s">
        <v>230</v>
      </c>
      <c r="Y2">
        <v>68</v>
      </c>
      <c r="Z2" t="s">
        <v>244</v>
      </c>
      <c r="AA2">
        <v>18</v>
      </c>
      <c r="AB2">
        <v>40</v>
      </c>
      <c r="AC2" t="s">
        <v>230</v>
      </c>
      <c r="AD2" t="s">
        <v>245</v>
      </c>
      <c r="AE2" t="s">
        <v>246</v>
      </c>
      <c r="AF2" t="s">
        <v>247</v>
      </c>
      <c r="AG2" t="s">
        <v>248</v>
      </c>
      <c r="AH2" t="s">
        <v>230</v>
      </c>
      <c r="AI2">
        <v>8</v>
      </c>
      <c r="AJ2" s="20" t="s">
        <v>249</v>
      </c>
      <c r="AK2" s="20" t="s">
        <v>230</v>
      </c>
      <c r="AL2" s="20" t="s">
        <v>230</v>
      </c>
      <c r="AM2">
        <v>21039099</v>
      </c>
      <c r="AN2" s="38">
        <v>7129020</v>
      </c>
      <c r="AO2" t="s">
        <v>230</v>
      </c>
      <c r="AP2" t="s">
        <v>230</v>
      </c>
      <c r="AQ2" t="s">
        <v>230</v>
      </c>
      <c r="AR2" t="s">
        <v>230</v>
      </c>
      <c r="AS2" t="s">
        <v>250</v>
      </c>
      <c r="AT2" t="s">
        <v>251</v>
      </c>
      <c r="AU2" t="s">
        <v>251</v>
      </c>
      <c r="AV2" t="s">
        <v>252</v>
      </c>
      <c r="AW2" t="s">
        <v>253</v>
      </c>
      <c r="AX2" t="s">
        <v>86</v>
      </c>
      <c r="AY2">
        <v>115936</v>
      </c>
      <c r="AZ2" t="s">
        <v>307</v>
      </c>
      <c r="BA2" t="s">
        <v>144</v>
      </c>
      <c r="BB2" t="s">
        <v>253</v>
      </c>
      <c r="BC2" t="s">
        <v>253</v>
      </c>
      <c r="BD2" s="40">
        <v>400600030201</v>
      </c>
      <c r="BE2">
        <v>18846</v>
      </c>
      <c r="BF2">
        <v>602771</v>
      </c>
      <c r="BG2">
        <v>20009</v>
      </c>
      <c r="BH2" t="s">
        <v>312</v>
      </c>
      <c r="BI2" t="s">
        <v>312</v>
      </c>
      <c r="BJ2">
        <v>0</v>
      </c>
      <c r="BK2">
        <v>0</v>
      </c>
      <c r="BL2">
        <v>23707.75</v>
      </c>
      <c r="BM2" s="29">
        <v>0</v>
      </c>
      <c r="BN2" s="29">
        <v>0</v>
      </c>
      <c r="BO2" s="40">
        <v>0</v>
      </c>
      <c r="BP2" s="40">
        <v>2.88</v>
      </c>
      <c r="BQ2" s="40">
        <v>3.19</v>
      </c>
      <c r="BR2" s="29">
        <v>0</v>
      </c>
      <c r="BS2" s="36">
        <v>0</v>
      </c>
      <c r="BT2" s="36">
        <v>0</v>
      </c>
      <c r="BU2" s="36">
        <v>0</v>
      </c>
      <c r="BV2" s="10" t="str">
        <f t="shared" ref="BV2:BV4" ca="1" si="0">IF(AY2&lt;&gt;AY1,IF(AND(BX2=0,CB2=0),"Only Zero","Not Zero"),OFFSET(BW2,-1,-1))</f>
        <v>Only Zero</v>
      </c>
      <c r="BW2" s="31" t="str">
        <f>IF(SapExlData[Opprinnelsesland]=""," ",SapExlData[Opprinnelsesland])</f>
        <v>CN</v>
      </c>
      <c r="BX2" s="29">
        <f>IF(AY2&lt;&gt;AY1,IF(LinkQty=1,(SapExlData[QuaLastYeat_Mat]+SapExlData[QuaCurrYear_Mat]),SapExlData[Kvabeh_Mat]),0)</f>
        <v>0</v>
      </c>
      <c r="BY2" s="29">
        <f>IF((SapExlData[Kvantum_Mat]*SapExlData[Kvantum_Mat1])&lt;&gt;0,(SapExlData[QuaLastYeat_Mat]+SapExlData[QuaCurrYear_Mat])/SapExlData[Kvantum_Mat]*SapExlData[Kvantum_Mat1],0)</f>
        <v>0</v>
      </c>
      <c r="BZ2" s="29">
        <f>IF((SapExlData[Kvantum_Mat]*SapExlData[Kvantum_Mat1])&lt;&gt;0,(SapExlData[Kvabeh_Mat])/SapExlData[Kvantum_Mat]*SapExlData[Kvantum_Mat1],0)</f>
        <v>0</v>
      </c>
      <c r="CA2" s="29">
        <f>IF((SapExlData[Kvantum_Mat]*SapExlData[Kvantum_Mat2])&lt;&gt;0,(SapExlData[Kvantum1])/SapExlData[Kvantum_Mat]*SapExlData[Kvantum_Mat2],0)</f>
        <v>0</v>
      </c>
      <c r="CB2" s="29">
        <f>IF((SapExlData[Kvantum_Mat]*SapExlData[Kvantum_Mat2])&lt;&gt;0,(SapExlData[Kvabeh_Mat])/SapExlData[Kvantum_Mat]*SapExlData[Kvantum_Mat2],0)</f>
        <v>0</v>
      </c>
      <c r="CC2" s="36">
        <v>1</v>
      </c>
      <c r="CD2">
        <f>IF(LinkQty=1,BY2,BZ2)*IF(LinkPrices=1,SapExlData[Budsj.pris1],IF(LinkPrices=2,SapExlData[Gl.gjsn.pris],SapExlData[Budsj.pris2]))/1000*1</f>
        <v>0</v>
      </c>
      <c r="CE2">
        <f>IF(LinkQty=1,CA2,CB2)*IF(LinkPrices=1,SapExlData[Budsj.pris1],IF(LinkPrices=2,SapExlData[Gl.gjsn.pris],SapExlData[Budsj.pris2]))/1000*1</f>
        <v>0</v>
      </c>
      <c r="CF2" t="str">
        <f>SapExlData[Materialgrp. 1]&amp;" "&amp;SapExlData[Betegnelse (25)]</f>
        <v>Ikke tilordnet Vegetables Dry</v>
      </c>
      <c r="CG2" t="str">
        <f>SapExlData[Firmanavn]</f>
        <v>Shanghai Richfield Intern. Trade Co</v>
      </c>
      <c r="CH2" s="29">
        <f>SapExlData[Produkthier]</f>
        <v>400600030201</v>
      </c>
      <c r="CI2" t="str">
        <f>SapExlData[Produkthierarki1]</f>
        <v>SAUS, PASTØS, SH</v>
      </c>
      <c r="CJ2" t="str">
        <f>TEXT(SapExlData[Leverandørkode],"000000")&amp;" "&amp;SapExlData[Leverandørnavn]</f>
        <v>018846 Shanghai Richfield Intern. Trade Co</v>
      </c>
      <c r="CK2" t="str">
        <f>SapExlData[Materialgrp.]&amp;" "&amp;SapExlData[Materialgrp.navn]</f>
        <v>RM0430 Grønnsaker, Tørt</v>
      </c>
      <c r="CL2" t="str">
        <f>TEXT(SapExlData[Material],"000000")&amp;" "&amp;SapExlData[Materialbesk.]</f>
        <v>115936 Toro Estragonsaus kremet pastøs 2bx/7L</v>
      </c>
      <c r="CM2" t="str">
        <f>TEXT(SapExlData[Material1],"000000")&amp;" "&amp;SapExlData[Materialbesk.1]</f>
        <v>602771 KBL KREMET ESTRAGONSAUS PASTA</v>
      </c>
      <c r="CN2" t="str">
        <f>TEXT(SapExlData[Material2],"000000")&amp;" "&amp;SapExlData[Materialbesk.2]</f>
        <v>020009 Hvitløkpulver</v>
      </c>
    </row>
    <row r="3" spans="1:92" x14ac:dyDescent="0.3">
      <c r="A3" t="s">
        <v>230</v>
      </c>
      <c r="B3" t="s">
        <v>231</v>
      </c>
      <c r="C3">
        <v>1</v>
      </c>
      <c r="E3" t="s">
        <v>232</v>
      </c>
      <c r="F3" t="s">
        <v>233</v>
      </c>
      <c r="G3" t="s">
        <v>234</v>
      </c>
      <c r="H3" t="s">
        <v>235</v>
      </c>
      <c r="I3" t="s">
        <v>236</v>
      </c>
      <c r="J3" t="s">
        <v>237</v>
      </c>
      <c r="K3" t="s">
        <v>230</v>
      </c>
      <c r="L3" t="s">
        <v>230</v>
      </c>
      <c r="M3" t="s">
        <v>238</v>
      </c>
      <c r="N3" s="9" t="s">
        <v>234</v>
      </c>
      <c r="O3" s="9" t="s">
        <v>234</v>
      </c>
      <c r="P3" t="s">
        <v>239</v>
      </c>
      <c r="Q3" t="s">
        <v>240</v>
      </c>
      <c r="R3">
        <v>4</v>
      </c>
      <c r="S3" t="s">
        <v>241</v>
      </c>
      <c r="T3" t="s">
        <v>242</v>
      </c>
      <c r="U3" t="s">
        <v>243</v>
      </c>
      <c r="V3" t="s">
        <v>243</v>
      </c>
      <c r="W3">
        <v>20</v>
      </c>
      <c r="X3" t="s">
        <v>230</v>
      </c>
      <c r="Y3">
        <v>68</v>
      </c>
      <c r="Z3" t="s">
        <v>244</v>
      </c>
      <c r="AA3">
        <v>18</v>
      </c>
      <c r="AB3">
        <v>40</v>
      </c>
      <c r="AC3" t="s">
        <v>230</v>
      </c>
      <c r="AD3" t="s">
        <v>245</v>
      </c>
      <c r="AE3" t="s">
        <v>246</v>
      </c>
      <c r="AF3" t="s">
        <v>247</v>
      </c>
      <c r="AG3" t="s">
        <v>248</v>
      </c>
      <c r="AH3" t="s">
        <v>230</v>
      </c>
      <c r="AI3">
        <v>8</v>
      </c>
      <c r="AJ3" s="20" t="s">
        <v>249</v>
      </c>
      <c r="AK3" s="20" t="s">
        <v>230</v>
      </c>
      <c r="AL3" s="20" t="s">
        <v>230</v>
      </c>
      <c r="AM3">
        <v>21039099</v>
      </c>
      <c r="AN3" s="38">
        <v>7129020</v>
      </c>
      <c r="AO3" t="s">
        <v>230</v>
      </c>
      <c r="AP3" t="s">
        <v>230</v>
      </c>
      <c r="AQ3" t="s">
        <v>230</v>
      </c>
      <c r="AR3" t="s">
        <v>230</v>
      </c>
      <c r="AS3" t="s">
        <v>250</v>
      </c>
      <c r="AT3" t="s">
        <v>251</v>
      </c>
      <c r="AU3" t="s">
        <v>251</v>
      </c>
      <c r="AV3" t="s">
        <v>252</v>
      </c>
      <c r="AW3" t="s">
        <v>253</v>
      </c>
      <c r="AX3" t="s">
        <v>86</v>
      </c>
      <c r="AY3">
        <v>115936</v>
      </c>
      <c r="AZ3" t="s">
        <v>307</v>
      </c>
      <c r="BA3" t="s">
        <v>144</v>
      </c>
      <c r="BB3" t="s">
        <v>253</v>
      </c>
      <c r="BC3" t="s">
        <v>253</v>
      </c>
      <c r="BD3" s="40">
        <v>400600030201</v>
      </c>
      <c r="BE3">
        <v>18846</v>
      </c>
      <c r="BF3">
        <v>602771</v>
      </c>
      <c r="BG3">
        <v>20009</v>
      </c>
      <c r="BH3" t="s">
        <v>313</v>
      </c>
      <c r="BI3" t="s">
        <v>313</v>
      </c>
      <c r="BJ3">
        <v>0</v>
      </c>
      <c r="BK3">
        <v>0</v>
      </c>
      <c r="BL3">
        <v>0</v>
      </c>
      <c r="BM3" s="29">
        <v>0</v>
      </c>
      <c r="BN3" s="29">
        <v>0</v>
      </c>
      <c r="BO3" s="40">
        <v>1.7999999999999999E-2</v>
      </c>
      <c r="BP3" s="40">
        <v>0</v>
      </c>
      <c r="BQ3" s="40">
        <v>0</v>
      </c>
      <c r="BR3" s="29">
        <v>0</v>
      </c>
      <c r="BS3" s="36">
        <v>0</v>
      </c>
      <c r="BT3" s="36">
        <v>5.0000000000000001E-3</v>
      </c>
      <c r="BU3" s="36">
        <v>0</v>
      </c>
      <c r="BV3" s="10" t="str">
        <f t="shared" ca="1" si="0"/>
        <v>Only Zero</v>
      </c>
      <c r="BW3" s="29" t="str">
        <f>IF(SapExlData[Opprinnelsesland]=""," ",SapExlData[Opprinnelsesland])</f>
        <v>CN</v>
      </c>
      <c r="BX3" s="29">
        <f>IF(AY3&lt;&gt;AY2,IF(LinkQty=1,(SapExlData[QuaLastYeat_Mat]+SapExlData[QuaCurrYear_Mat]),SapExlData[Kvabeh_Mat]),0)</f>
        <v>0</v>
      </c>
      <c r="BY3" s="29">
        <f>IF((SapExlData[Kvantum_Mat]*SapExlData[Kvantum_Mat1])&lt;&gt;0,(SapExlData[QuaLastYeat_Mat]+SapExlData[QuaCurrYear_Mat])/SapExlData[Kvantum_Mat]*SapExlData[Kvantum_Mat1],0)</f>
        <v>0</v>
      </c>
      <c r="BZ3" s="29">
        <f>IF((SapExlData[Kvantum_Mat]*SapExlData[Kvantum_Mat1])&lt;&gt;0,(SapExlData[Kvabeh_Mat])/SapExlData[Kvantum_Mat]*SapExlData[Kvantum_Mat1],0)</f>
        <v>0</v>
      </c>
      <c r="CA3" s="29">
        <f>IF((SapExlData[Kvantum_Mat]*SapExlData[Kvantum_Mat2])&lt;&gt;0,(SapExlData[Kvantum1])/SapExlData[Kvantum_Mat]*SapExlData[Kvantum_Mat2],0)</f>
        <v>0</v>
      </c>
      <c r="CB3" s="29">
        <f>IF((SapExlData[Kvantum_Mat]*SapExlData[Kvantum_Mat2])&lt;&gt;0,(SapExlData[Kvabeh_Mat])/SapExlData[Kvantum_Mat]*SapExlData[Kvantum_Mat2],0)</f>
        <v>0</v>
      </c>
      <c r="CC3" s="36">
        <v>1</v>
      </c>
      <c r="CD3" s="36">
        <f>IF(LinkQty=1,BY3,BZ3)*IF(LinkPrices=1,SapExlData[Budsj.pris1],IF(LinkPrices=2,SapExlData[Gl.gjsn.pris],SapExlData[Budsj.pris2]))/1000*1</f>
        <v>0</v>
      </c>
      <c r="CE3" s="36">
        <f>IF(LinkQty=1,CA3,CB3)*IF(LinkPrices=1,SapExlData[Budsj.pris1],IF(LinkPrices=2,SapExlData[Gl.gjsn.pris],SapExlData[Budsj.pris2]))/1000*1</f>
        <v>0</v>
      </c>
      <c r="CF3" s="36" t="str">
        <f>SapExlData[Materialgrp. 1]&amp;" "&amp;SapExlData[Betegnelse (25)]</f>
        <v>Ikke tilordnet Vegetables Dry</v>
      </c>
      <c r="CG3" s="36" t="str">
        <f>SapExlData[Firmanavn]</f>
        <v>Shanghai Richfield Intern. Trade Co</v>
      </c>
      <c r="CH3" s="29">
        <f>SapExlData[Produkthier]</f>
        <v>400600030201</v>
      </c>
      <c r="CI3" s="36" t="str">
        <f>SapExlData[Produkthierarki1]</f>
        <v>SAUS, PASTØS, SH</v>
      </c>
      <c r="CJ3" s="36" t="str">
        <f>TEXT(SapExlData[Leverandørkode],"000000")&amp;" "&amp;SapExlData[Leverandørnavn]</f>
        <v>018846 Shanghai Richfield Intern. Trade Co</v>
      </c>
      <c r="CK3" s="36" t="str">
        <f>SapExlData[Materialgrp.]&amp;" "&amp;SapExlData[Materialgrp.navn]</f>
        <v>RM0430 Grønnsaker, Tørt</v>
      </c>
      <c r="CL3" s="36" t="str">
        <f>TEXT(SapExlData[Material],"000000")&amp;" "&amp;SapExlData[Materialbesk.]</f>
        <v>115936 Toro Estragonsaus kremet pastøs 2bx/7L</v>
      </c>
      <c r="CM3" s="36" t="str">
        <f>TEXT(SapExlData[Material1],"000000")&amp;" "&amp;SapExlData[Materialbesk.1]</f>
        <v>602771 KBL KREMET ESTRAGONSAUS PASTA</v>
      </c>
      <c r="CN3" s="36" t="str">
        <f>TEXT(SapExlData[Material2],"000000")&amp;" "&amp;SapExlData[Materialbesk.2]</f>
        <v>020009 Hvitløkpulver</v>
      </c>
    </row>
    <row r="4" spans="1:92" x14ac:dyDescent="0.3">
      <c r="A4" t="s">
        <v>230</v>
      </c>
      <c r="B4" t="s">
        <v>231</v>
      </c>
      <c r="C4">
        <v>1</v>
      </c>
      <c r="E4" t="s">
        <v>232</v>
      </c>
      <c r="F4" t="s">
        <v>233</v>
      </c>
      <c r="G4" t="s">
        <v>234</v>
      </c>
      <c r="H4" t="s">
        <v>235</v>
      </c>
      <c r="I4" t="s">
        <v>236</v>
      </c>
      <c r="J4" t="s">
        <v>237</v>
      </c>
      <c r="K4" t="s">
        <v>230</v>
      </c>
      <c r="L4" t="s">
        <v>230</v>
      </c>
      <c r="M4" t="s">
        <v>238</v>
      </c>
      <c r="N4" s="9" t="s">
        <v>234</v>
      </c>
      <c r="O4" s="9" t="s">
        <v>234</v>
      </c>
      <c r="P4" t="s">
        <v>239</v>
      </c>
      <c r="Q4" t="s">
        <v>240</v>
      </c>
      <c r="R4">
        <v>4</v>
      </c>
      <c r="S4" t="s">
        <v>241</v>
      </c>
      <c r="T4" t="s">
        <v>242</v>
      </c>
      <c r="U4" t="s">
        <v>243</v>
      </c>
      <c r="V4" t="s">
        <v>243</v>
      </c>
      <c r="W4">
        <v>20</v>
      </c>
      <c r="X4" t="s">
        <v>230</v>
      </c>
      <c r="Y4">
        <v>68</v>
      </c>
      <c r="Z4" t="s">
        <v>244</v>
      </c>
      <c r="AA4">
        <v>18</v>
      </c>
      <c r="AB4">
        <v>40</v>
      </c>
      <c r="AC4" t="s">
        <v>230</v>
      </c>
      <c r="AD4" t="s">
        <v>245</v>
      </c>
      <c r="AE4" t="s">
        <v>246</v>
      </c>
      <c r="AF4" t="s">
        <v>247</v>
      </c>
      <c r="AG4" t="s">
        <v>248</v>
      </c>
      <c r="AH4" t="s">
        <v>230</v>
      </c>
      <c r="AI4">
        <v>8</v>
      </c>
      <c r="AJ4" s="20" t="s">
        <v>249</v>
      </c>
      <c r="AK4" s="20" t="s">
        <v>230</v>
      </c>
      <c r="AL4" s="20" t="s">
        <v>230</v>
      </c>
      <c r="AM4">
        <v>21039099</v>
      </c>
      <c r="AN4" s="38">
        <v>7129020</v>
      </c>
      <c r="AO4" t="s">
        <v>230</v>
      </c>
      <c r="AP4" t="s">
        <v>230</v>
      </c>
      <c r="AQ4" t="s">
        <v>230</v>
      </c>
      <c r="AR4" t="s">
        <v>230</v>
      </c>
      <c r="AS4" t="s">
        <v>250</v>
      </c>
      <c r="AT4" t="s">
        <v>251</v>
      </c>
      <c r="AU4" t="s">
        <v>251</v>
      </c>
      <c r="AV4" t="s">
        <v>252</v>
      </c>
      <c r="AW4" t="s">
        <v>253</v>
      </c>
      <c r="AX4" t="s">
        <v>86</v>
      </c>
      <c r="AY4">
        <v>115936</v>
      </c>
      <c r="AZ4" t="s">
        <v>307</v>
      </c>
      <c r="BA4" t="s">
        <v>144</v>
      </c>
      <c r="BB4" t="s">
        <v>253</v>
      </c>
      <c r="BC4" t="s">
        <v>253</v>
      </c>
      <c r="BD4" s="40">
        <v>400600030201</v>
      </c>
      <c r="BE4">
        <v>18846</v>
      </c>
      <c r="BF4">
        <v>602771</v>
      </c>
      <c r="BG4">
        <v>20009</v>
      </c>
      <c r="BH4" t="s">
        <v>314</v>
      </c>
      <c r="BI4" t="s">
        <v>314</v>
      </c>
      <c r="BJ4">
        <v>2880</v>
      </c>
      <c r="BK4">
        <v>0</v>
      </c>
      <c r="BL4">
        <v>0</v>
      </c>
      <c r="BM4" s="29">
        <v>262</v>
      </c>
      <c r="BN4" s="29">
        <v>1</v>
      </c>
      <c r="BO4" s="40">
        <v>0</v>
      </c>
      <c r="BP4" s="40">
        <v>0</v>
      </c>
      <c r="BQ4" s="40">
        <v>0</v>
      </c>
      <c r="BR4" s="29">
        <v>0</v>
      </c>
      <c r="BS4" s="36">
        <v>0</v>
      </c>
      <c r="BT4" s="36">
        <v>5.0000000000000001E-3</v>
      </c>
      <c r="BU4" s="36">
        <v>0</v>
      </c>
      <c r="BV4" s="10" t="str">
        <f t="shared" ca="1" si="0"/>
        <v>Only Zero</v>
      </c>
      <c r="BW4" s="29" t="str">
        <f>IF(SapExlData[Opprinnelsesland]=""," ",SapExlData[Opprinnelsesland])</f>
        <v>CN</v>
      </c>
      <c r="BX4" s="29">
        <f>IF(AY4&lt;&gt;AY3,IF(LinkQty=1,(SapExlData[QuaLastYeat_Mat]+SapExlData[QuaCurrYear_Mat]),SapExlData[Kvabeh_Mat]),0)</f>
        <v>0</v>
      </c>
      <c r="BY4" s="29">
        <f>IF((SapExlData[Kvantum_Mat]*SapExlData[Kvantum_Mat1])&lt;&gt;0,(SapExlData[QuaLastYeat_Mat]+SapExlData[QuaCurrYear_Mat])/SapExlData[Kvantum_Mat]*SapExlData[Kvantum_Mat1],0)</f>
        <v>0</v>
      </c>
      <c r="BZ4" s="29">
        <f>IF((SapExlData[Kvantum_Mat]*SapExlData[Kvantum_Mat1])&lt;&gt;0,(SapExlData[Kvabeh_Mat])/SapExlData[Kvantum_Mat]*SapExlData[Kvantum_Mat1],0)</f>
        <v>0</v>
      </c>
      <c r="CA4" s="29">
        <f>IF((SapExlData[Kvantum_Mat]*SapExlData[Kvantum_Mat2])&lt;&gt;0,(SapExlData[Kvantum1])/SapExlData[Kvantum_Mat]*SapExlData[Kvantum_Mat2],0)</f>
        <v>0</v>
      </c>
      <c r="CB4" s="29">
        <f>IF((SapExlData[Kvantum_Mat]*SapExlData[Kvantum_Mat2])&lt;&gt;0,(SapExlData[Kvabeh_Mat])/SapExlData[Kvantum_Mat]*SapExlData[Kvantum_Mat2],0)</f>
        <v>1.31</v>
      </c>
      <c r="CC4" s="36">
        <v>1</v>
      </c>
      <c r="CD4" s="36">
        <f>IF(LinkQty=1,BY4,BZ4)*IF(LinkPrices=1,SapExlData[Budsj.pris1],IF(LinkPrices=2,SapExlData[Gl.gjsn.pris],SapExlData[Budsj.pris2]))/1000*1</f>
        <v>0</v>
      </c>
      <c r="CE4" s="36">
        <f>IF(LinkQty=1,CA4,CB4)*IF(LinkPrices=1,SapExlData[Budsj.pris1],IF(LinkPrices=2,SapExlData[Gl.gjsn.pris],SapExlData[Budsj.pris2]))/1000*1</f>
        <v>0</v>
      </c>
      <c r="CF4" s="36" t="str">
        <f>SapExlData[Materialgrp. 1]&amp;" "&amp;SapExlData[Betegnelse (25)]</f>
        <v>Ikke tilordnet Vegetables Dry</v>
      </c>
      <c r="CG4" s="36" t="str">
        <f>SapExlData[Firmanavn]</f>
        <v>Shanghai Richfield Intern. Trade Co</v>
      </c>
      <c r="CH4" s="29">
        <f>SapExlData[Produkthier]</f>
        <v>400600030201</v>
      </c>
      <c r="CI4" s="36" t="str">
        <f>SapExlData[Produkthierarki1]</f>
        <v>SAUS, PASTØS, SH</v>
      </c>
      <c r="CJ4" s="36" t="str">
        <f>TEXT(SapExlData[Leverandørkode],"000000")&amp;" "&amp;SapExlData[Leverandørnavn]</f>
        <v>018846 Shanghai Richfield Intern. Trade Co</v>
      </c>
      <c r="CK4" s="36" t="str">
        <f>SapExlData[Materialgrp.]&amp;" "&amp;SapExlData[Materialgrp.navn]</f>
        <v>RM0430 Grønnsaker, Tørt</v>
      </c>
      <c r="CL4" s="36" t="str">
        <f>TEXT(SapExlData[Material],"000000")&amp;" "&amp;SapExlData[Materialbesk.]</f>
        <v>115936 Toro Estragonsaus kremet pastøs 2bx/7L</v>
      </c>
      <c r="CM4" s="36" t="str">
        <f>TEXT(SapExlData[Material1],"000000")&amp;" "&amp;SapExlData[Materialbesk.1]</f>
        <v>602771 KBL KREMET ESTRAGONSAUS PASTA</v>
      </c>
      <c r="CN4" s="36" t="str">
        <f>TEXT(SapExlData[Material2],"000000")&amp;" "&amp;SapExlData[Materialbesk.2]</f>
        <v>020009 Hvitløkpulver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1">
    <tabColor rgb="FFFF8080"/>
  </sheetPr>
  <dimension ref="A1:D14"/>
  <sheetViews>
    <sheetView showGridLines="0" zoomScale="85" zoomScaleNormal="85" workbookViewId="0"/>
  </sheetViews>
  <sheetFormatPr defaultColWidth="11.44140625" defaultRowHeight="14.4" x14ac:dyDescent="0.3"/>
  <cols>
    <col min="1" max="1" width="8.21875" bestFit="1" customWidth="1"/>
    <col min="2" max="2" width="5.77734375" bestFit="1" customWidth="1"/>
    <col min="3" max="3" width="12.44140625" bestFit="1" customWidth="1"/>
    <col min="4" max="4" width="8.44140625" bestFit="1" customWidth="1"/>
  </cols>
  <sheetData>
    <row r="1" spans="1:4" x14ac:dyDescent="0.3">
      <c r="A1" s="6" t="s">
        <v>29</v>
      </c>
      <c r="B1" s="6" t="s">
        <v>30</v>
      </c>
      <c r="C1" s="6" t="s">
        <v>31</v>
      </c>
      <c r="D1" s="6" t="s">
        <v>13</v>
      </c>
    </row>
    <row r="2" spans="1:4" x14ac:dyDescent="0.3">
      <c r="A2" t="s">
        <v>17</v>
      </c>
      <c r="B2" t="s">
        <v>8</v>
      </c>
      <c r="C2" s="10">
        <v>40909</v>
      </c>
      <c r="D2">
        <v>5.68</v>
      </c>
    </row>
    <row r="3" spans="1:4" x14ac:dyDescent="0.3">
      <c r="A3" t="s">
        <v>18</v>
      </c>
      <c r="B3" t="s">
        <v>8</v>
      </c>
      <c r="C3" s="10">
        <v>40909</v>
      </c>
      <c r="D3">
        <v>5.69</v>
      </c>
    </row>
    <row r="4" spans="1:4" x14ac:dyDescent="0.3">
      <c r="A4" t="s">
        <v>19</v>
      </c>
      <c r="B4" t="s">
        <v>8</v>
      </c>
      <c r="C4" s="10">
        <v>40909</v>
      </c>
      <c r="D4">
        <v>6.61</v>
      </c>
    </row>
    <row r="5" spans="1:4" x14ac:dyDescent="0.3">
      <c r="A5" t="s">
        <v>20</v>
      </c>
      <c r="B5" t="s">
        <v>8</v>
      </c>
      <c r="C5" s="10">
        <v>40909</v>
      </c>
      <c r="D5">
        <v>0.32900000000000001</v>
      </c>
    </row>
    <row r="6" spans="1:4" x14ac:dyDescent="0.3">
      <c r="A6" t="s">
        <v>21</v>
      </c>
      <c r="B6" t="s">
        <v>8</v>
      </c>
      <c r="C6" s="10">
        <v>40909</v>
      </c>
      <c r="D6">
        <v>1.0660000000000001</v>
      </c>
    </row>
    <row r="7" spans="1:4" x14ac:dyDescent="0.3">
      <c r="A7" t="s">
        <v>22</v>
      </c>
      <c r="B7" t="s">
        <v>8</v>
      </c>
      <c r="C7" s="10">
        <v>40909</v>
      </c>
      <c r="D7">
        <v>7.94</v>
      </c>
    </row>
    <row r="8" spans="1:4" x14ac:dyDescent="0.3">
      <c r="A8" t="s">
        <v>23</v>
      </c>
      <c r="B8" t="s">
        <v>8</v>
      </c>
      <c r="C8" s="10">
        <v>40909</v>
      </c>
      <c r="D8">
        <v>8.84</v>
      </c>
    </row>
    <row r="9" spans="1:4" x14ac:dyDescent="0.3">
      <c r="A9" t="s">
        <v>24</v>
      </c>
      <c r="B9" t="s">
        <v>8</v>
      </c>
      <c r="C9" s="10">
        <v>40909</v>
      </c>
      <c r="D9">
        <v>2.91</v>
      </c>
    </row>
    <row r="10" spans="1:4" x14ac:dyDescent="0.3">
      <c r="A10" t="s">
        <v>25</v>
      </c>
      <c r="B10" t="s">
        <v>8</v>
      </c>
      <c r="C10" s="10">
        <v>40909</v>
      </c>
      <c r="D10">
        <v>6.9</v>
      </c>
    </row>
    <row r="11" spans="1:4" x14ac:dyDescent="0.3">
      <c r="A11" t="s">
        <v>26</v>
      </c>
      <c r="B11" t="s">
        <v>8</v>
      </c>
      <c r="C11" s="10">
        <v>40909</v>
      </c>
      <c r="D11">
        <v>1.9550000000000001</v>
      </c>
    </row>
    <row r="12" spans="1:4" x14ac:dyDescent="0.3">
      <c r="A12" t="s">
        <v>27</v>
      </c>
      <c r="B12" t="s">
        <v>8</v>
      </c>
      <c r="C12" s="10">
        <v>40909</v>
      </c>
      <c r="D12">
        <v>0.85699999999999998</v>
      </c>
    </row>
    <row r="13" spans="1:4" x14ac:dyDescent="0.3">
      <c r="A13" t="s">
        <v>8</v>
      </c>
      <c r="B13" t="s">
        <v>8</v>
      </c>
      <c r="C13" s="10">
        <v>40909</v>
      </c>
      <c r="D13">
        <v>1</v>
      </c>
    </row>
    <row r="14" spans="1:4" x14ac:dyDescent="0.3">
      <c r="A14" t="s">
        <v>28</v>
      </c>
      <c r="B14" t="s">
        <v>8</v>
      </c>
      <c r="C14" s="10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1">
    <tabColor rgb="FFFF8080"/>
  </sheetPr>
  <dimension ref="A1:C106"/>
  <sheetViews>
    <sheetView showGridLines="0" zoomScale="85" zoomScaleNormal="85" workbookViewId="0"/>
  </sheetViews>
  <sheetFormatPr defaultColWidth="11.44140625" defaultRowHeight="14.4" x14ac:dyDescent="0.3"/>
  <cols>
    <col min="1" max="1" width="10.44140625" bestFit="1" customWidth="1"/>
    <col min="2" max="2" width="38.44140625" bestFit="1" customWidth="1"/>
    <col min="3" max="3" width="12.44140625" bestFit="1" customWidth="1"/>
  </cols>
  <sheetData>
    <row r="1" spans="1:3" x14ac:dyDescent="0.3">
      <c r="A1" t="s">
        <v>5</v>
      </c>
      <c r="B1" t="s">
        <v>89</v>
      </c>
      <c r="C1" s="10" t="s">
        <v>88</v>
      </c>
    </row>
    <row r="2" spans="1:3" x14ac:dyDescent="0.3">
      <c r="C2" s="10"/>
    </row>
    <row r="3" spans="1:3" x14ac:dyDescent="0.3">
      <c r="C3" s="10"/>
    </row>
    <row r="4" spans="1:3" x14ac:dyDescent="0.3">
      <c r="C4" s="10"/>
    </row>
    <row r="5" spans="1:3" x14ac:dyDescent="0.3">
      <c r="C5" s="10"/>
    </row>
    <row r="6" spans="1:3" x14ac:dyDescent="0.3">
      <c r="C6" s="10"/>
    </row>
    <row r="7" spans="1:3" x14ac:dyDescent="0.3">
      <c r="C7" s="10"/>
    </row>
    <row r="8" spans="1:3" x14ac:dyDescent="0.3">
      <c r="C8" s="10"/>
    </row>
    <row r="9" spans="1:3" x14ac:dyDescent="0.3">
      <c r="C9" s="10"/>
    </row>
    <row r="10" spans="1:3" x14ac:dyDescent="0.3">
      <c r="C10" s="10"/>
    </row>
    <row r="11" spans="1:3" x14ac:dyDescent="0.3">
      <c r="C11" s="10"/>
    </row>
    <row r="12" spans="1:3" x14ac:dyDescent="0.3">
      <c r="C12" s="10"/>
    </row>
    <row r="13" spans="1:3" x14ac:dyDescent="0.3">
      <c r="C13" s="10"/>
    </row>
    <row r="14" spans="1:3" x14ac:dyDescent="0.3">
      <c r="C14" s="10"/>
    </row>
    <row r="15" spans="1:3" x14ac:dyDescent="0.3">
      <c r="C15" s="10"/>
    </row>
    <row r="16" spans="1:3" x14ac:dyDescent="0.3">
      <c r="C16" s="10"/>
    </row>
    <row r="17" spans="3:3" x14ac:dyDescent="0.3">
      <c r="C17" s="10"/>
    </row>
    <row r="18" spans="3:3" x14ac:dyDescent="0.3">
      <c r="C18" s="10"/>
    </row>
    <row r="19" spans="3:3" x14ac:dyDescent="0.3">
      <c r="C19" s="10"/>
    </row>
    <row r="20" spans="3:3" x14ac:dyDescent="0.3">
      <c r="C20" s="10"/>
    </row>
    <row r="21" spans="3:3" x14ac:dyDescent="0.3">
      <c r="C21" s="10"/>
    </row>
    <row r="22" spans="3:3" x14ac:dyDescent="0.3">
      <c r="C22" s="10"/>
    </row>
    <row r="23" spans="3:3" x14ac:dyDescent="0.3">
      <c r="C23" s="10"/>
    </row>
    <row r="24" spans="3:3" x14ac:dyDescent="0.3">
      <c r="C24" s="10"/>
    </row>
    <row r="25" spans="3:3" x14ac:dyDescent="0.3">
      <c r="C25" s="10"/>
    </row>
    <row r="26" spans="3:3" x14ac:dyDescent="0.3">
      <c r="C26" s="10"/>
    </row>
    <row r="27" spans="3:3" x14ac:dyDescent="0.3">
      <c r="C27" s="10"/>
    </row>
    <row r="28" spans="3:3" x14ac:dyDescent="0.3">
      <c r="C28" s="10"/>
    </row>
    <row r="29" spans="3:3" x14ac:dyDescent="0.3">
      <c r="C29" s="10"/>
    </row>
    <row r="30" spans="3:3" x14ac:dyDescent="0.3">
      <c r="C30" s="10"/>
    </row>
    <row r="31" spans="3:3" x14ac:dyDescent="0.3">
      <c r="C31" s="10"/>
    </row>
    <row r="32" spans="3:3" x14ac:dyDescent="0.3">
      <c r="C32" s="10"/>
    </row>
    <row r="33" spans="3:3" x14ac:dyDescent="0.3">
      <c r="C33" s="10"/>
    </row>
    <row r="34" spans="3:3" x14ac:dyDescent="0.3">
      <c r="C34" s="10"/>
    </row>
    <row r="35" spans="3:3" x14ac:dyDescent="0.3">
      <c r="C35" s="10"/>
    </row>
    <row r="36" spans="3:3" x14ac:dyDescent="0.3">
      <c r="C36" s="10"/>
    </row>
    <row r="37" spans="3:3" x14ac:dyDescent="0.3">
      <c r="C37" s="10"/>
    </row>
    <row r="38" spans="3:3" x14ac:dyDescent="0.3">
      <c r="C38" s="10"/>
    </row>
    <row r="39" spans="3:3" x14ac:dyDescent="0.3">
      <c r="C39" s="10"/>
    </row>
    <row r="40" spans="3:3" x14ac:dyDescent="0.3">
      <c r="C40" s="10"/>
    </row>
    <row r="41" spans="3:3" x14ac:dyDescent="0.3">
      <c r="C41" s="10"/>
    </row>
    <row r="42" spans="3:3" x14ac:dyDescent="0.3">
      <c r="C42" s="10"/>
    </row>
    <row r="43" spans="3:3" x14ac:dyDescent="0.3">
      <c r="C43" s="10"/>
    </row>
    <row r="44" spans="3:3" x14ac:dyDescent="0.3">
      <c r="C44" s="10"/>
    </row>
    <row r="45" spans="3:3" x14ac:dyDescent="0.3">
      <c r="C45" s="10"/>
    </row>
    <row r="46" spans="3:3" x14ac:dyDescent="0.3">
      <c r="C46" s="10"/>
    </row>
    <row r="47" spans="3:3" x14ac:dyDescent="0.3">
      <c r="C47" s="10"/>
    </row>
    <row r="48" spans="3:3" x14ac:dyDescent="0.3">
      <c r="C48" s="10"/>
    </row>
    <row r="49" spans="3:3" x14ac:dyDescent="0.3">
      <c r="C49" s="10"/>
    </row>
    <row r="50" spans="3:3" x14ac:dyDescent="0.3">
      <c r="C50" s="10"/>
    </row>
    <row r="51" spans="3:3" x14ac:dyDescent="0.3">
      <c r="C51" s="10"/>
    </row>
    <row r="52" spans="3:3" x14ac:dyDescent="0.3">
      <c r="C52" s="10"/>
    </row>
    <row r="53" spans="3:3" x14ac:dyDescent="0.3">
      <c r="C53" s="10"/>
    </row>
    <row r="54" spans="3:3" x14ac:dyDescent="0.3">
      <c r="C54" s="10"/>
    </row>
    <row r="55" spans="3:3" x14ac:dyDescent="0.3">
      <c r="C55" s="10"/>
    </row>
    <row r="56" spans="3:3" x14ac:dyDescent="0.3">
      <c r="C56" s="10"/>
    </row>
    <row r="57" spans="3:3" x14ac:dyDescent="0.3">
      <c r="C57" s="10"/>
    </row>
    <row r="58" spans="3:3" x14ac:dyDescent="0.3">
      <c r="C58" s="10"/>
    </row>
    <row r="59" spans="3:3" x14ac:dyDescent="0.3">
      <c r="C59" s="10"/>
    </row>
    <row r="60" spans="3:3" x14ac:dyDescent="0.3">
      <c r="C60" s="10"/>
    </row>
    <row r="61" spans="3:3" x14ac:dyDescent="0.3">
      <c r="C61" s="10"/>
    </row>
    <row r="62" spans="3:3" x14ac:dyDescent="0.3">
      <c r="C62" s="10"/>
    </row>
    <row r="63" spans="3:3" x14ac:dyDescent="0.3">
      <c r="C63" s="10"/>
    </row>
    <row r="64" spans="3:3" x14ac:dyDescent="0.3">
      <c r="C64" s="10"/>
    </row>
    <row r="65" spans="3:3" x14ac:dyDescent="0.3">
      <c r="C65" s="10"/>
    </row>
    <row r="66" spans="3:3" x14ac:dyDescent="0.3">
      <c r="C66" s="10"/>
    </row>
    <row r="67" spans="3:3" x14ac:dyDescent="0.3">
      <c r="C67" s="10"/>
    </row>
    <row r="68" spans="3:3" x14ac:dyDescent="0.3">
      <c r="C68" s="10"/>
    </row>
    <row r="69" spans="3:3" x14ac:dyDescent="0.3">
      <c r="C69" s="10"/>
    </row>
    <row r="70" spans="3:3" x14ac:dyDescent="0.3">
      <c r="C70" s="10"/>
    </row>
    <row r="71" spans="3:3" x14ac:dyDescent="0.3">
      <c r="C71" s="10"/>
    </row>
    <row r="72" spans="3:3" x14ac:dyDescent="0.3">
      <c r="C72" s="10"/>
    </row>
    <row r="73" spans="3:3" x14ac:dyDescent="0.3">
      <c r="C73" s="10"/>
    </row>
    <row r="74" spans="3:3" x14ac:dyDescent="0.3">
      <c r="C74" s="10"/>
    </row>
    <row r="75" spans="3:3" x14ac:dyDescent="0.3">
      <c r="C75" s="10"/>
    </row>
    <row r="76" spans="3:3" x14ac:dyDescent="0.3">
      <c r="C76" s="10"/>
    </row>
    <row r="77" spans="3:3" x14ac:dyDescent="0.3">
      <c r="C77" s="10"/>
    </row>
    <row r="78" spans="3:3" x14ac:dyDescent="0.3">
      <c r="C78" s="10"/>
    </row>
    <row r="79" spans="3:3" x14ac:dyDescent="0.3">
      <c r="C79" s="10"/>
    </row>
    <row r="80" spans="3:3" x14ac:dyDescent="0.3">
      <c r="C80" s="10"/>
    </row>
    <row r="81" spans="3:3" x14ac:dyDescent="0.3">
      <c r="C81" s="10"/>
    </row>
    <row r="82" spans="3:3" x14ac:dyDescent="0.3">
      <c r="C82" s="10"/>
    </row>
    <row r="83" spans="3:3" x14ac:dyDescent="0.3">
      <c r="C83" s="10"/>
    </row>
    <row r="84" spans="3:3" x14ac:dyDescent="0.3">
      <c r="C84" s="10"/>
    </row>
    <row r="85" spans="3:3" x14ac:dyDescent="0.3">
      <c r="C85" s="10"/>
    </row>
    <row r="86" spans="3:3" x14ac:dyDescent="0.3">
      <c r="C86" s="10"/>
    </row>
    <row r="87" spans="3:3" x14ac:dyDescent="0.3">
      <c r="C87" s="10"/>
    </row>
    <row r="88" spans="3:3" x14ac:dyDescent="0.3">
      <c r="C88" s="10"/>
    </row>
    <row r="89" spans="3:3" x14ac:dyDescent="0.3">
      <c r="C89" s="10"/>
    </row>
    <row r="90" spans="3:3" x14ac:dyDescent="0.3">
      <c r="C90" s="10"/>
    </row>
    <row r="91" spans="3:3" x14ac:dyDescent="0.3">
      <c r="C91" s="10"/>
    </row>
    <row r="92" spans="3:3" x14ac:dyDescent="0.3">
      <c r="C92" s="10"/>
    </row>
    <row r="93" spans="3:3" x14ac:dyDescent="0.3">
      <c r="C93" s="10"/>
    </row>
    <row r="94" spans="3:3" x14ac:dyDescent="0.3">
      <c r="C94" s="10"/>
    </row>
    <row r="95" spans="3:3" x14ac:dyDescent="0.3">
      <c r="C95" s="10"/>
    </row>
    <row r="96" spans="3:3" x14ac:dyDescent="0.3">
      <c r="C96" s="10"/>
    </row>
    <row r="97" spans="3:3" x14ac:dyDescent="0.3">
      <c r="C97" s="10"/>
    </row>
    <row r="98" spans="3:3" x14ac:dyDescent="0.3">
      <c r="C98" s="10"/>
    </row>
    <row r="99" spans="3:3" x14ac:dyDescent="0.3">
      <c r="C99" s="10"/>
    </row>
    <row r="100" spans="3:3" x14ac:dyDescent="0.3">
      <c r="C100" s="10"/>
    </row>
    <row r="101" spans="3:3" x14ac:dyDescent="0.3">
      <c r="C101" s="10"/>
    </row>
    <row r="102" spans="3:3" x14ac:dyDescent="0.3">
      <c r="C102" s="10"/>
    </row>
    <row r="103" spans="3:3" x14ac:dyDescent="0.3">
      <c r="C103" s="10"/>
    </row>
    <row r="104" spans="3:3" x14ac:dyDescent="0.3">
      <c r="C104" s="10"/>
    </row>
    <row r="105" spans="3:3" x14ac:dyDescent="0.3">
      <c r="C105" s="10"/>
    </row>
    <row r="106" spans="3:3" x14ac:dyDescent="0.3">
      <c r="C106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1">
    <tabColor rgb="FFFF8080"/>
  </sheetPr>
  <dimension ref="A1:B87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6" t="s">
        <v>34</v>
      </c>
      <c r="B1" s="6" t="s">
        <v>11</v>
      </c>
    </row>
    <row r="2" spans="1:2" x14ac:dyDescent="0.3">
      <c r="A2" s="21" t="s">
        <v>145</v>
      </c>
      <c r="B2" s="21" t="s">
        <v>11</v>
      </c>
    </row>
    <row r="3" spans="1:2" x14ac:dyDescent="0.3">
      <c r="A3" s="19" t="s">
        <v>146</v>
      </c>
      <c r="B3" s="22" t="s">
        <v>147</v>
      </c>
    </row>
    <row r="4" spans="1:2" x14ac:dyDescent="0.3">
      <c r="A4" s="19" t="s">
        <v>148</v>
      </c>
      <c r="B4" s="22" t="s">
        <v>149</v>
      </c>
    </row>
    <row r="5" spans="1:2" x14ac:dyDescent="0.3">
      <c r="A5" s="22" t="s">
        <v>35</v>
      </c>
      <c r="B5" s="19" t="s">
        <v>150</v>
      </c>
    </row>
    <row r="6" spans="1:2" x14ac:dyDescent="0.3">
      <c r="A6" s="22" t="s">
        <v>36</v>
      </c>
      <c r="B6" s="19" t="s">
        <v>151</v>
      </c>
    </row>
    <row r="7" spans="1:2" x14ac:dyDescent="0.3">
      <c r="A7" s="22" t="s">
        <v>37</v>
      </c>
      <c r="B7" s="19" t="s">
        <v>152</v>
      </c>
    </row>
    <row r="8" spans="1:2" x14ac:dyDescent="0.3">
      <c r="A8" s="22" t="s">
        <v>140</v>
      </c>
      <c r="B8" s="19" t="s">
        <v>153</v>
      </c>
    </row>
    <row r="9" spans="1:2" x14ac:dyDescent="0.3">
      <c r="A9" s="19" t="s">
        <v>5</v>
      </c>
      <c r="B9" s="19" t="s">
        <v>154</v>
      </c>
    </row>
    <row r="10" spans="1:2" x14ac:dyDescent="0.3">
      <c r="A10" s="22" t="s">
        <v>222</v>
      </c>
      <c r="B10" s="19" t="s">
        <v>155</v>
      </c>
    </row>
    <row r="11" spans="1:2" x14ac:dyDescent="0.3">
      <c r="A11" s="22" t="s">
        <v>38</v>
      </c>
      <c r="B11" s="19" t="s">
        <v>156</v>
      </c>
    </row>
    <row r="12" spans="1:2" x14ac:dyDescent="0.3">
      <c r="A12" s="19" t="s">
        <v>157</v>
      </c>
      <c r="B12" s="19" t="s">
        <v>158</v>
      </c>
    </row>
    <row r="13" spans="1:2" x14ac:dyDescent="0.3">
      <c r="A13" s="22" t="s">
        <v>142</v>
      </c>
      <c r="B13" s="19" t="s">
        <v>159</v>
      </c>
    </row>
    <row r="14" spans="1:2" x14ac:dyDescent="0.3">
      <c r="A14" s="22" t="s">
        <v>160</v>
      </c>
      <c r="B14" s="19" t="s">
        <v>161</v>
      </c>
    </row>
    <row r="15" spans="1:2" x14ac:dyDescent="0.3">
      <c r="A15" s="22" t="s">
        <v>142</v>
      </c>
      <c r="B15" s="19" t="s">
        <v>159</v>
      </c>
    </row>
    <row r="16" spans="1:2" x14ac:dyDescent="0.3">
      <c r="A16" s="22" t="s">
        <v>162</v>
      </c>
      <c r="B16" s="19" t="s">
        <v>163</v>
      </c>
    </row>
    <row r="17" spans="1:2" x14ac:dyDescent="0.3">
      <c r="A17" s="22" t="s">
        <v>142</v>
      </c>
      <c r="B17" s="19" t="s">
        <v>141</v>
      </c>
    </row>
    <row r="18" spans="1:2" x14ac:dyDescent="0.3">
      <c r="A18" s="22" t="s">
        <v>39</v>
      </c>
      <c r="B18" s="19" t="s">
        <v>39</v>
      </c>
    </row>
    <row r="19" spans="1:2" x14ac:dyDescent="0.3">
      <c r="A19" s="22" t="s">
        <v>40</v>
      </c>
      <c r="B19" s="19" t="s">
        <v>164</v>
      </c>
    </row>
    <row r="20" spans="1:2" x14ac:dyDescent="0.3">
      <c r="A20" s="22" t="s">
        <v>136</v>
      </c>
      <c r="B20" s="19" t="s">
        <v>32</v>
      </c>
    </row>
    <row r="21" spans="1:2" x14ac:dyDescent="0.3">
      <c r="A21" s="22" t="s">
        <v>137</v>
      </c>
      <c r="B21" s="19" t="s">
        <v>165</v>
      </c>
    </row>
    <row r="22" spans="1:2" x14ac:dyDescent="0.3">
      <c r="A22" s="22" t="s">
        <v>41</v>
      </c>
      <c r="B22" s="19" t="s">
        <v>166</v>
      </c>
    </row>
    <row r="23" spans="1:2" x14ac:dyDescent="0.3">
      <c r="A23" s="22" t="s">
        <v>42</v>
      </c>
      <c r="B23" s="19" t="s">
        <v>167</v>
      </c>
    </row>
    <row r="24" spans="1:2" x14ac:dyDescent="0.3">
      <c r="A24" s="19" t="s">
        <v>43</v>
      </c>
      <c r="B24" s="19" t="s">
        <v>168</v>
      </c>
    </row>
    <row r="25" spans="1:2" x14ac:dyDescent="0.3">
      <c r="A25" s="22" t="s">
        <v>44</v>
      </c>
      <c r="B25" s="19" t="s">
        <v>169</v>
      </c>
    </row>
    <row r="26" spans="1:2" x14ac:dyDescent="0.3">
      <c r="A26" s="19" t="s">
        <v>138</v>
      </c>
      <c r="B26" s="19" t="s">
        <v>170</v>
      </c>
    </row>
    <row r="27" spans="1:2" x14ac:dyDescent="0.3">
      <c r="A27" s="22" t="s">
        <v>139</v>
      </c>
      <c r="B27" s="19" t="s">
        <v>171</v>
      </c>
    </row>
    <row r="28" spans="1:2" x14ac:dyDescent="0.3">
      <c r="A28" s="19" t="s">
        <v>45</v>
      </c>
      <c r="B28" s="19" t="s">
        <v>172</v>
      </c>
    </row>
    <row r="29" spans="1:2" x14ac:dyDescent="0.3">
      <c r="A29" s="22" t="s">
        <v>143</v>
      </c>
      <c r="B29" s="19" t="s">
        <v>173</v>
      </c>
    </row>
    <row r="30" spans="1:2" x14ac:dyDescent="0.3">
      <c r="A30" s="19" t="s">
        <v>174</v>
      </c>
      <c r="B30" s="19" t="s">
        <v>175</v>
      </c>
    </row>
    <row r="31" spans="1:2" x14ac:dyDescent="0.3">
      <c r="A31" s="22" t="s">
        <v>46</v>
      </c>
      <c r="B31" s="19" t="s">
        <v>176</v>
      </c>
    </row>
    <row r="32" spans="1:2" x14ac:dyDescent="0.3">
      <c r="A32" s="19" t="s">
        <v>136</v>
      </c>
      <c r="B32" s="19" t="s">
        <v>32</v>
      </c>
    </row>
    <row r="33" spans="1:2" x14ac:dyDescent="0.3">
      <c r="A33" s="22" t="s">
        <v>47</v>
      </c>
      <c r="B33" s="19" t="s">
        <v>177</v>
      </c>
    </row>
    <row r="34" spans="1:2" x14ac:dyDescent="0.3">
      <c r="A34" s="19" t="s">
        <v>33</v>
      </c>
      <c r="B34" s="19" t="s">
        <v>33</v>
      </c>
    </row>
    <row r="35" spans="1:2" x14ac:dyDescent="0.3">
      <c r="A35" s="22" t="s">
        <v>4</v>
      </c>
      <c r="B35" s="22" t="s">
        <v>178</v>
      </c>
    </row>
    <row r="36" spans="1:2" x14ac:dyDescent="0.3">
      <c r="A36" s="19" t="s">
        <v>48</v>
      </c>
      <c r="B36" s="19" t="s">
        <v>179</v>
      </c>
    </row>
    <row r="37" spans="1:2" x14ac:dyDescent="0.3">
      <c r="A37" s="22" t="s">
        <v>49</v>
      </c>
      <c r="B37" s="22" t="s">
        <v>180</v>
      </c>
    </row>
    <row r="38" spans="1:2" x14ac:dyDescent="0.3">
      <c r="A38" s="19" t="s">
        <v>6</v>
      </c>
      <c r="B38" s="19" t="s">
        <v>181</v>
      </c>
    </row>
    <row r="39" spans="1:2" x14ac:dyDescent="0.3">
      <c r="A39" s="22" t="s">
        <v>1</v>
      </c>
      <c r="B39" s="22" t="s">
        <v>182</v>
      </c>
    </row>
    <row r="40" spans="1:2" x14ac:dyDescent="0.3">
      <c r="A40" s="22" t="s">
        <v>7</v>
      </c>
      <c r="B40" s="19" t="s">
        <v>183</v>
      </c>
    </row>
    <row r="41" spans="1:2" x14ac:dyDescent="0.3">
      <c r="A41" s="22" t="s">
        <v>50</v>
      </c>
      <c r="B41" s="19" t="s">
        <v>184</v>
      </c>
    </row>
    <row r="42" spans="1:2" x14ac:dyDescent="0.3">
      <c r="A42" s="22" t="s">
        <v>50</v>
      </c>
      <c r="B42" s="19" t="s">
        <v>184</v>
      </c>
    </row>
    <row r="43" spans="1:2" x14ac:dyDescent="0.3">
      <c r="A43" s="22" t="s">
        <v>38</v>
      </c>
      <c r="B43" s="19" t="s">
        <v>156</v>
      </c>
    </row>
    <row r="44" spans="1:2" x14ac:dyDescent="0.3">
      <c r="A44" s="22" t="s">
        <v>51</v>
      </c>
      <c r="B44" s="19" t="s">
        <v>134</v>
      </c>
    </row>
    <row r="45" spans="1:2" x14ac:dyDescent="0.3">
      <c r="A45" s="19" t="s">
        <v>52</v>
      </c>
      <c r="B45" s="19" t="s">
        <v>135</v>
      </c>
    </row>
    <row r="46" spans="1:2" x14ac:dyDescent="0.3">
      <c r="A46" s="22" t="s">
        <v>53</v>
      </c>
      <c r="B46" s="19" t="s">
        <v>185</v>
      </c>
    </row>
    <row r="47" spans="1:2" x14ac:dyDescent="0.3">
      <c r="A47" s="22" t="s">
        <v>54</v>
      </c>
      <c r="B47" s="19" t="s">
        <v>186</v>
      </c>
    </row>
    <row r="48" spans="1:2" x14ac:dyDescent="0.3">
      <c r="A48" s="22" t="s">
        <v>54</v>
      </c>
      <c r="B48" s="22" t="s">
        <v>186</v>
      </c>
    </row>
    <row r="49" spans="1:2" x14ac:dyDescent="0.3">
      <c r="A49" s="22"/>
      <c r="B49" s="19"/>
    </row>
    <row r="50" spans="1:2" x14ac:dyDescent="0.3">
      <c r="A50" s="22" t="s">
        <v>57</v>
      </c>
      <c r="B50" s="19" t="s">
        <v>187</v>
      </c>
    </row>
    <row r="51" spans="1:2" x14ac:dyDescent="0.3">
      <c r="A51" s="22" t="s">
        <v>58</v>
      </c>
      <c r="B51" s="22" t="s">
        <v>188</v>
      </c>
    </row>
    <row r="52" spans="1:2" x14ac:dyDescent="0.3">
      <c r="A52" s="22" t="s">
        <v>59</v>
      </c>
      <c r="B52" s="22" t="s">
        <v>189</v>
      </c>
    </row>
    <row r="53" spans="1:2" x14ac:dyDescent="0.3">
      <c r="A53" s="22" t="s">
        <v>60</v>
      </c>
      <c r="B53" s="19" t="s">
        <v>190</v>
      </c>
    </row>
    <row r="54" spans="1:2" x14ac:dyDescent="0.3">
      <c r="A54" s="19" t="s">
        <v>62</v>
      </c>
      <c r="B54" s="19" t="s">
        <v>191</v>
      </c>
    </row>
    <row r="55" spans="1:2" x14ac:dyDescent="0.3">
      <c r="A55" s="22" t="s">
        <v>61</v>
      </c>
      <c r="B55" s="19" t="s">
        <v>192</v>
      </c>
    </row>
    <row r="56" spans="1:2" x14ac:dyDescent="0.3">
      <c r="A56" s="19" t="s">
        <v>63</v>
      </c>
      <c r="B56" s="19" t="s">
        <v>193</v>
      </c>
    </row>
    <row r="57" spans="1:2" x14ac:dyDescent="0.3">
      <c r="A57" s="19" t="s">
        <v>64</v>
      </c>
      <c r="B57" s="19" t="s">
        <v>194</v>
      </c>
    </row>
    <row r="58" spans="1:2" x14ac:dyDescent="0.3">
      <c r="A58" s="19" t="s">
        <v>65</v>
      </c>
      <c r="B58" s="19" t="s">
        <v>195</v>
      </c>
    </row>
    <row r="59" spans="1:2" x14ac:dyDescent="0.3">
      <c r="A59" s="22" t="s">
        <v>66</v>
      </c>
      <c r="B59" s="19" t="s">
        <v>196</v>
      </c>
    </row>
    <row r="60" spans="1:2" x14ac:dyDescent="0.3">
      <c r="A60" s="19" t="s">
        <v>67</v>
      </c>
      <c r="B60" s="19" t="s">
        <v>197</v>
      </c>
    </row>
    <row r="61" spans="1:2" x14ac:dyDescent="0.3">
      <c r="A61" s="22" t="s">
        <v>68</v>
      </c>
      <c r="B61" s="19" t="s">
        <v>198</v>
      </c>
    </row>
    <row r="62" spans="1:2" x14ac:dyDescent="0.3">
      <c r="A62" s="22" t="s">
        <v>70</v>
      </c>
      <c r="B62" s="19" t="s">
        <v>199</v>
      </c>
    </row>
    <row r="63" spans="1:2" x14ac:dyDescent="0.3">
      <c r="A63" s="22" t="s">
        <v>200</v>
      </c>
      <c r="B63" s="19" t="s">
        <v>201</v>
      </c>
    </row>
    <row r="64" spans="1:2" x14ac:dyDescent="0.3">
      <c r="A64" s="22" t="s">
        <v>0</v>
      </c>
      <c r="B64" s="22" t="s">
        <v>202</v>
      </c>
    </row>
    <row r="65" spans="1:2" x14ac:dyDescent="0.3">
      <c r="A65" s="22" t="s">
        <v>203</v>
      </c>
      <c r="B65" s="22" t="s">
        <v>204</v>
      </c>
    </row>
    <row r="66" spans="1:2" x14ac:dyDescent="0.3">
      <c r="A66" s="22" t="s">
        <v>71</v>
      </c>
      <c r="B66" s="22" t="s">
        <v>205</v>
      </c>
    </row>
    <row r="67" spans="1:2" x14ac:dyDescent="0.3">
      <c r="A67" s="22" t="s">
        <v>72</v>
      </c>
      <c r="B67" s="22" t="s">
        <v>206</v>
      </c>
    </row>
    <row r="68" spans="1:2" x14ac:dyDescent="0.3">
      <c r="A68" s="22" t="s">
        <v>73</v>
      </c>
      <c r="B68" s="22" t="s">
        <v>207</v>
      </c>
    </row>
    <row r="69" spans="1:2" x14ac:dyDescent="0.3">
      <c r="A69" s="22" t="s">
        <v>74</v>
      </c>
      <c r="B69" s="22" t="s">
        <v>208</v>
      </c>
    </row>
    <row r="70" spans="1:2" x14ac:dyDescent="0.3">
      <c r="A70" s="19" t="s">
        <v>209</v>
      </c>
      <c r="B70" s="19" t="s">
        <v>210</v>
      </c>
    </row>
    <row r="71" spans="1:2" x14ac:dyDescent="0.3">
      <c r="A71" s="22" t="s">
        <v>209</v>
      </c>
      <c r="B71" s="19" t="s">
        <v>210</v>
      </c>
    </row>
    <row r="72" spans="1:2" x14ac:dyDescent="0.3">
      <c r="A72" s="22" t="s">
        <v>75</v>
      </c>
      <c r="B72" s="22" t="s">
        <v>211</v>
      </c>
    </row>
    <row r="73" spans="1:2" x14ac:dyDescent="0.3">
      <c r="A73" s="22"/>
      <c r="B73" s="22"/>
    </row>
    <row r="74" spans="1:2" x14ac:dyDescent="0.3">
      <c r="A74" s="22" t="s">
        <v>91</v>
      </c>
      <c r="B74" s="22" t="s">
        <v>212</v>
      </c>
    </row>
    <row r="75" spans="1:2" x14ac:dyDescent="0.3">
      <c r="A75" s="22" t="s">
        <v>92</v>
      </c>
      <c r="B75" s="22" t="s">
        <v>191</v>
      </c>
    </row>
    <row r="76" spans="1:2" x14ac:dyDescent="0.3">
      <c r="A76" s="22" t="s">
        <v>93</v>
      </c>
      <c r="B76" s="22" t="s">
        <v>192</v>
      </c>
    </row>
    <row r="77" spans="1:2" x14ac:dyDescent="0.3">
      <c r="A77" s="22" t="s">
        <v>94</v>
      </c>
      <c r="B77" s="22" t="s">
        <v>187</v>
      </c>
    </row>
    <row r="78" spans="1:2" x14ac:dyDescent="0.3">
      <c r="A78" s="22" t="s">
        <v>95</v>
      </c>
      <c r="B78" s="22" t="s">
        <v>188</v>
      </c>
    </row>
    <row r="79" spans="1:2" x14ac:dyDescent="0.3">
      <c r="A79" s="22" t="s">
        <v>96</v>
      </c>
      <c r="B79" s="22" t="s">
        <v>189</v>
      </c>
    </row>
    <row r="80" spans="1:2" x14ac:dyDescent="0.3">
      <c r="A80" s="22" t="s">
        <v>97</v>
      </c>
      <c r="B80" s="22" t="s">
        <v>213</v>
      </c>
    </row>
    <row r="81" spans="1:2" x14ac:dyDescent="0.3">
      <c r="A81" s="22" t="s">
        <v>98</v>
      </c>
      <c r="B81" s="22" t="s">
        <v>214</v>
      </c>
    </row>
    <row r="82" spans="1:2" x14ac:dyDescent="0.3">
      <c r="A82" s="22"/>
      <c r="B82" s="22"/>
    </row>
    <row r="83" spans="1:2" x14ac:dyDescent="0.3">
      <c r="A83" s="19" t="s">
        <v>215</v>
      </c>
      <c r="B83" s="22" t="s">
        <v>216</v>
      </c>
    </row>
    <row r="84" spans="1:2" x14ac:dyDescent="0.3">
      <c r="A84" s="2" t="s">
        <v>217</v>
      </c>
      <c r="B84" s="2" t="s">
        <v>218</v>
      </c>
    </row>
    <row r="85" spans="1:2" x14ac:dyDescent="0.3">
      <c r="A85" s="2" t="s">
        <v>69</v>
      </c>
      <c r="B85" s="2" t="s">
        <v>219</v>
      </c>
    </row>
    <row r="86" spans="1:2" x14ac:dyDescent="0.3">
      <c r="A86" s="23" t="s">
        <v>220</v>
      </c>
      <c r="B86" s="23" t="s">
        <v>221</v>
      </c>
    </row>
    <row r="87" spans="1:2" x14ac:dyDescent="0.3">
      <c r="A87" s="2"/>
      <c r="B87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99</v>
      </c>
      <c r="B1" t="s">
        <v>3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P1" t="s">
        <v>113</v>
      </c>
      <c r="Q1" t="s">
        <v>114</v>
      </c>
      <c r="R1" t="s">
        <v>115</v>
      </c>
      <c r="S1" t="s">
        <v>116</v>
      </c>
      <c r="T1" t="s">
        <v>117</v>
      </c>
      <c r="U1" t="s">
        <v>118</v>
      </c>
      <c r="V1" t="s">
        <v>119</v>
      </c>
      <c r="W1" t="s">
        <v>120</v>
      </c>
      <c r="X1" t="s">
        <v>121</v>
      </c>
      <c r="Y1" t="s">
        <v>122</v>
      </c>
      <c r="Z1" t="s">
        <v>123</v>
      </c>
      <c r="AA1" t="s">
        <v>124</v>
      </c>
      <c r="AB1" t="s">
        <v>125</v>
      </c>
      <c r="AC1" t="s">
        <v>126</v>
      </c>
      <c r="AD1" t="s">
        <v>127</v>
      </c>
      <c r="AE1" t="s">
        <v>128</v>
      </c>
      <c r="AF1" t="s">
        <v>129</v>
      </c>
      <c r="AG1" t="s">
        <v>130</v>
      </c>
    </row>
    <row r="2" spans="1:33" x14ac:dyDescent="0.3">
      <c r="A2" s="9"/>
      <c r="C2" s="9"/>
      <c r="D2" s="9"/>
      <c r="E2" s="9"/>
      <c r="F2" s="9"/>
      <c r="G2" s="9"/>
      <c r="H2" s="9"/>
      <c r="I2" s="9"/>
      <c r="L2" s="9"/>
      <c r="M2" s="9"/>
      <c r="N2" s="9"/>
      <c r="O2" s="9"/>
      <c r="P2" s="9"/>
      <c r="Q2" s="9"/>
      <c r="R2" s="9"/>
      <c r="S2" s="9"/>
      <c r="U2" s="9"/>
      <c r="V2" s="9"/>
      <c r="W2" s="9"/>
      <c r="X2" s="9"/>
      <c r="AA2" s="9"/>
      <c r="AE2" s="9"/>
      <c r="AF2" s="9"/>
    </row>
    <row r="3" spans="1:33" x14ac:dyDescent="0.3">
      <c r="D3" s="9"/>
      <c r="E3" s="9"/>
      <c r="G3" s="9"/>
      <c r="H3" s="9"/>
      <c r="L3" s="9"/>
      <c r="M3" s="9"/>
      <c r="N3" s="9"/>
      <c r="O3" s="9"/>
      <c r="Q3" s="9"/>
      <c r="R3" s="9"/>
      <c r="S3" s="9"/>
      <c r="U3" s="9"/>
    </row>
    <row r="4" spans="1:33" x14ac:dyDescent="0.3">
      <c r="D4" s="9"/>
      <c r="E4" s="9"/>
      <c r="G4" s="9"/>
      <c r="H4" s="9"/>
      <c r="L4" s="9"/>
      <c r="M4" s="9"/>
      <c r="N4" s="9"/>
      <c r="O4" s="9"/>
      <c r="Q4" s="9"/>
      <c r="R4" s="9"/>
      <c r="S4" s="9"/>
      <c r="U4" s="9"/>
    </row>
    <row r="5" spans="1:33" x14ac:dyDescent="0.3">
      <c r="D5" s="9"/>
      <c r="E5" s="9"/>
      <c r="G5" s="9"/>
      <c r="H5" s="9"/>
      <c r="L5" s="9"/>
      <c r="M5" s="9"/>
      <c r="N5" s="9"/>
      <c r="O5" s="9"/>
      <c r="Q5" s="9"/>
      <c r="R5" s="9"/>
      <c r="S5" s="9"/>
      <c r="U5" s="9"/>
    </row>
    <row r="6" spans="1:33" x14ac:dyDescent="0.3">
      <c r="D6" s="9"/>
      <c r="E6" s="9"/>
      <c r="G6" s="9"/>
      <c r="H6" s="9"/>
      <c r="L6" s="9"/>
      <c r="M6" s="9"/>
      <c r="N6" s="9"/>
      <c r="O6" s="9"/>
      <c r="Q6" s="9"/>
      <c r="R6" s="9"/>
      <c r="S6" s="9"/>
      <c r="U6" s="9"/>
    </row>
    <row r="7" spans="1:33" x14ac:dyDescent="0.3">
      <c r="D7" s="9"/>
      <c r="E7" s="9"/>
      <c r="G7" s="9"/>
      <c r="H7" s="9"/>
      <c r="L7" s="9"/>
      <c r="M7" s="9"/>
      <c r="N7" s="9"/>
      <c r="O7" s="9"/>
      <c r="Q7" s="9"/>
      <c r="R7" s="9"/>
      <c r="S7" s="9"/>
      <c r="U7" s="9"/>
    </row>
    <row r="8" spans="1:33" x14ac:dyDescent="0.3">
      <c r="D8" s="9"/>
      <c r="E8" s="9"/>
      <c r="G8" s="9"/>
      <c r="H8" s="9"/>
      <c r="L8" s="9"/>
      <c r="M8" s="9"/>
      <c r="N8" s="9"/>
      <c r="O8" s="9"/>
      <c r="Q8" s="9"/>
      <c r="R8" s="9"/>
      <c r="S8" s="9"/>
      <c r="U8" s="9"/>
    </row>
    <row r="9" spans="1:33" x14ac:dyDescent="0.3">
      <c r="D9" s="9"/>
      <c r="E9" s="9"/>
      <c r="G9" s="9"/>
      <c r="H9" s="9"/>
      <c r="L9" s="9"/>
      <c r="M9" s="9"/>
      <c r="N9" s="9"/>
      <c r="O9" s="9"/>
      <c r="Q9" s="9"/>
      <c r="R9" s="9"/>
      <c r="S9" s="9"/>
      <c r="U9" s="9"/>
    </row>
    <row r="10" spans="1:33" x14ac:dyDescent="0.3">
      <c r="D10" s="9"/>
      <c r="E10" s="9"/>
      <c r="G10" s="9"/>
      <c r="H10" s="9"/>
      <c r="L10" s="9"/>
      <c r="M10" s="9"/>
      <c r="N10" s="9"/>
      <c r="O10" s="9"/>
      <c r="Q10" s="9"/>
      <c r="R10" s="9"/>
      <c r="S10" s="9"/>
      <c r="U10" s="9"/>
    </row>
    <row r="11" spans="1:33" x14ac:dyDescent="0.3">
      <c r="D11" s="9"/>
      <c r="E11" s="9"/>
      <c r="G11" s="9"/>
      <c r="H11" s="9"/>
      <c r="L11" s="9"/>
      <c r="M11" s="9"/>
      <c r="N11" s="9"/>
      <c r="O11" s="9"/>
      <c r="Q11" s="9"/>
      <c r="R11" s="9"/>
      <c r="S11" s="9"/>
      <c r="U11" s="9"/>
    </row>
    <row r="12" spans="1:33" x14ac:dyDescent="0.3">
      <c r="D12" s="9"/>
      <c r="E12" s="9"/>
      <c r="G12" s="9"/>
      <c r="H12" s="9"/>
      <c r="L12" s="9"/>
      <c r="M12" s="9"/>
      <c r="N12" s="9"/>
      <c r="O12" s="9"/>
      <c r="Q12" s="9"/>
      <c r="R12" s="9"/>
      <c r="S12" s="9"/>
      <c r="U12" s="9"/>
    </row>
    <row r="13" spans="1:33" x14ac:dyDescent="0.3">
      <c r="D13" s="9"/>
      <c r="E13" s="9"/>
      <c r="G13" s="9"/>
      <c r="H13" s="9"/>
      <c r="L13" s="9"/>
      <c r="M13" s="9"/>
      <c r="N13" s="9"/>
      <c r="O13" s="9"/>
      <c r="Q13" s="9"/>
      <c r="R13" s="9"/>
      <c r="S13" s="9"/>
      <c r="U13" s="9"/>
    </row>
    <row r="14" spans="1:33" x14ac:dyDescent="0.3">
      <c r="D14" s="9"/>
      <c r="E14" s="9"/>
      <c r="G14" s="9"/>
      <c r="H14" s="9"/>
      <c r="L14" s="9"/>
      <c r="M14" s="9"/>
      <c r="N14" s="9"/>
      <c r="O14" s="9"/>
      <c r="Q14" s="9"/>
      <c r="R14" s="9"/>
      <c r="S14" s="9"/>
      <c r="U14" s="9"/>
    </row>
    <row r="15" spans="1:33" x14ac:dyDescent="0.3">
      <c r="D15" s="9"/>
      <c r="E15" s="9"/>
      <c r="G15" s="9"/>
      <c r="H15" s="9"/>
      <c r="L15" s="9"/>
      <c r="M15" s="9"/>
      <c r="N15" s="9"/>
      <c r="O15" s="9"/>
      <c r="Q15" s="9"/>
      <c r="R15" s="9"/>
      <c r="S15" s="9"/>
      <c r="U15" s="9"/>
    </row>
    <row r="16" spans="1:33" x14ac:dyDescent="0.3">
      <c r="D16" s="9"/>
      <c r="E16" s="9"/>
      <c r="G16" s="9"/>
      <c r="H16" s="9"/>
      <c r="L16" s="9"/>
      <c r="M16" s="9"/>
      <c r="N16" s="9"/>
      <c r="O16" s="9"/>
      <c r="Q16" s="9"/>
      <c r="R16" s="9"/>
      <c r="S16" s="9"/>
      <c r="U16" s="9"/>
    </row>
    <row r="17" spans="4:21" x14ac:dyDescent="0.3">
      <c r="D17" s="9"/>
      <c r="E17" s="9"/>
      <c r="G17" s="9"/>
      <c r="H17" s="9"/>
      <c r="L17" s="9"/>
      <c r="M17" s="9"/>
      <c r="N17" s="9"/>
      <c r="O17" s="9"/>
      <c r="Q17" s="9"/>
      <c r="R17" s="9"/>
      <c r="S17" s="9"/>
      <c r="U17" s="9"/>
    </row>
    <row r="18" spans="4:21" x14ac:dyDescent="0.3">
      <c r="D18" s="9"/>
      <c r="E18" s="9"/>
      <c r="G18" s="9"/>
      <c r="H18" s="9"/>
      <c r="L18" s="9"/>
      <c r="M18" s="9"/>
      <c r="N18" s="9"/>
      <c r="O18" s="9"/>
      <c r="Q18" s="9"/>
      <c r="R18" s="9"/>
      <c r="S18" s="9"/>
      <c r="U18" s="9"/>
    </row>
    <row r="19" spans="4:21" x14ac:dyDescent="0.3">
      <c r="D19" s="9"/>
      <c r="E19" s="9"/>
      <c r="G19" s="9"/>
      <c r="H19" s="9"/>
      <c r="L19" s="9"/>
      <c r="M19" s="9"/>
      <c r="N19" s="9"/>
      <c r="O19" s="9"/>
      <c r="Q19" s="9"/>
      <c r="R19" s="9"/>
      <c r="S19" s="9"/>
      <c r="U19" s="9"/>
    </row>
    <row r="20" spans="4:21" x14ac:dyDescent="0.3">
      <c r="D20" s="9"/>
      <c r="E20" s="9"/>
      <c r="G20" s="9"/>
      <c r="H20" s="9"/>
      <c r="L20" s="9"/>
      <c r="M20" s="9"/>
      <c r="N20" s="9"/>
      <c r="O20" s="9"/>
      <c r="Q20" s="9"/>
      <c r="R20" s="9"/>
      <c r="S20" s="9"/>
      <c r="U20" s="9"/>
    </row>
    <row r="21" spans="4:21" x14ac:dyDescent="0.3">
      <c r="D21" s="9"/>
      <c r="E21" s="9"/>
      <c r="G21" s="9"/>
      <c r="H21" s="9"/>
      <c r="L21" s="9"/>
      <c r="M21" s="9"/>
      <c r="N21" s="9"/>
      <c r="O21" s="9"/>
      <c r="Q21" s="9"/>
      <c r="R21" s="9"/>
      <c r="S21" s="9"/>
      <c r="U21" s="9"/>
    </row>
    <row r="22" spans="4:21" x14ac:dyDescent="0.3">
      <c r="D22" s="9"/>
      <c r="E22" s="9"/>
      <c r="G22" s="9"/>
      <c r="H22" s="9"/>
      <c r="L22" s="9"/>
      <c r="M22" s="9"/>
      <c r="N22" s="9"/>
      <c r="O22" s="9"/>
      <c r="Q22" s="9"/>
      <c r="R22" s="9"/>
      <c r="S22" s="9"/>
      <c r="U22" s="9"/>
    </row>
    <row r="23" spans="4:21" x14ac:dyDescent="0.3">
      <c r="D23" s="9"/>
      <c r="E23" s="9"/>
      <c r="G23" s="9"/>
      <c r="H23" s="9"/>
      <c r="L23" s="9"/>
      <c r="M23" s="9"/>
      <c r="N23" s="9"/>
      <c r="O23" s="9"/>
      <c r="Q23" s="9"/>
      <c r="R23" s="9"/>
      <c r="S23" s="9"/>
      <c r="U23" s="9"/>
    </row>
    <row r="24" spans="4:21" x14ac:dyDescent="0.3">
      <c r="D24" s="9"/>
      <c r="E24" s="9"/>
      <c r="G24" s="9"/>
      <c r="H24" s="9"/>
      <c r="L24" s="9"/>
      <c r="M24" s="9"/>
      <c r="N24" s="9"/>
      <c r="O24" s="9"/>
      <c r="Q24" s="9"/>
      <c r="R24" s="9"/>
      <c r="S24" s="9"/>
      <c r="U24" s="9"/>
    </row>
    <row r="25" spans="4:21" x14ac:dyDescent="0.3">
      <c r="D25" s="9"/>
      <c r="E25" s="9"/>
      <c r="G25" s="9"/>
      <c r="H25" s="9"/>
      <c r="L25" s="9"/>
      <c r="M25" s="9"/>
      <c r="N25" s="9"/>
      <c r="O25" s="9"/>
      <c r="Q25" s="9"/>
      <c r="R25" s="9"/>
      <c r="S25" s="9"/>
      <c r="U25" s="9"/>
    </row>
    <row r="26" spans="4:21" x14ac:dyDescent="0.3">
      <c r="D26" s="9"/>
      <c r="E26" s="9"/>
      <c r="G26" s="9"/>
      <c r="H26" s="9"/>
      <c r="L26" s="9"/>
      <c r="M26" s="9"/>
      <c r="N26" s="9"/>
      <c r="O26" s="9"/>
      <c r="Q26" s="9"/>
      <c r="R26" s="9"/>
      <c r="S26" s="9"/>
      <c r="U26" s="9"/>
    </row>
    <row r="27" spans="4:21" x14ac:dyDescent="0.3">
      <c r="D27" s="9"/>
      <c r="E27" s="9"/>
      <c r="G27" s="9"/>
      <c r="H27" s="9"/>
      <c r="L27" s="9"/>
      <c r="M27" s="9"/>
      <c r="N27" s="9"/>
      <c r="O27" s="9"/>
      <c r="Q27" s="9"/>
      <c r="R27" s="9"/>
      <c r="S27" s="9"/>
      <c r="U27" s="9"/>
    </row>
    <row r="28" spans="4:21" x14ac:dyDescent="0.3">
      <c r="D28" s="9"/>
      <c r="E28" s="9"/>
      <c r="G28" s="9"/>
      <c r="H28" s="9"/>
      <c r="L28" s="9"/>
      <c r="M28" s="9"/>
      <c r="N28" s="9"/>
      <c r="O28" s="9"/>
      <c r="Q28" s="9"/>
      <c r="R28" s="9"/>
      <c r="S28" s="9"/>
      <c r="U28" s="9"/>
    </row>
    <row r="29" spans="4:21" x14ac:dyDescent="0.3">
      <c r="D29" s="9"/>
      <c r="E29" s="9"/>
      <c r="G29" s="9"/>
      <c r="H29" s="9"/>
      <c r="L29" s="9"/>
      <c r="M29" s="9"/>
      <c r="N29" s="9"/>
      <c r="O29" s="9"/>
      <c r="Q29" s="9"/>
      <c r="R29" s="9"/>
      <c r="S29" s="9"/>
      <c r="U29" s="9"/>
    </row>
    <row r="30" spans="4:21" x14ac:dyDescent="0.3">
      <c r="D30" s="9"/>
      <c r="E30" s="9"/>
      <c r="G30" s="9"/>
      <c r="H30" s="9"/>
      <c r="L30" s="9"/>
      <c r="M30" s="9"/>
      <c r="N30" s="9"/>
      <c r="O30" s="9"/>
      <c r="Q30" s="9"/>
      <c r="R30" s="9"/>
      <c r="S30" s="9"/>
      <c r="U30" s="9"/>
    </row>
    <row r="31" spans="4:21" x14ac:dyDescent="0.3">
      <c r="D31" s="9"/>
      <c r="E31" s="9"/>
      <c r="G31" s="9"/>
      <c r="H31" s="9"/>
      <c r="L31" s="9"/>
      <c r="M31" s="9"/>
      <c r="N31" s="9"/>
      <c r="O31" s="9"/>
      <c r="Q31" s="9"/>
      <c r="R31" s="9"/>
      <c r="S31" s="9"/>
      <c r="U31" s="9"/>
    </row>
    <row r="32" spans="4:21" x14ac:dyDescent="0.3">
      <c r="D32" s="9"/>
      <c r="E32" s="9"/>
      <c r="G32" s="9"/>
      <c r="H32" s="9"/>
      <c r="L32" s="9"/>
      <c r="M32" s="9"/>
      <c r="N32" s="9"/>
      <c r="O32" s="9"/>
      <c r="Q32" s="9"/>
      <c r="R32" s="9"/>
      <c r="S32" s="9"/>
      <c r="U32" s="9"/>
    </row>
    <row r="33" spans="4:21" x14ac:dyDescent="0.3">
      <c r="D33" s="9"/>
      <c r="E33" s="9"/>
      <c r="G33" s="9"/>
      <c r="H33" s="9"/>
      <c r="L33" s="9"/>
      <c r="M33" s="9"/>
      <c r="N33" s="9"/>
      <c r="O33" s="9"/>
      <c r="Q33" s="9"/>
      <c r="R33" s="9"/>
      <c r="S33" s="9"/>
      <c r="U33" s="9"/>
    </row>
    <row r="34" spans="4:21" x14ac:dyDescent="0.3">
      <c r="D34" s="9"/>
      <c r="E34" s="9"/>
      <c r="G34" s="9"/>
      <c r="H34" s="9"/>
      <c r="L34" s="9"/>
      <c r="M34" s="9"/>
      <c r="N34" s="9"/>
      <c r="O34" s="9"/>
      <c r="Q34" s="9"/>
      <c r="R34" s="9"/>
      <c r="S34" s="9"/>
      <c r="U34" s="9"/>
    </row>
    <row r="35" spans="4:21" x14ac:dyDescent="0.3">
      <c r="D35" s="9"/>
      <c r="E35" s="9"/>
      <c r="G35" s="9"/>
      <c r="H35" s="9"/>
      <c r="L35" s="9"/>
      <c r="M35" s="9"/>
      <c r="N35" s="9"/>
      <c r="O35" s="9"/>
      <c r="Q35" s="9"/>
      <c r="R35" s="9"/>
      <c r="S35" s="9"/>
      <c r="U35" s="9"/>
    </row>
    <row r="36" spans="4:21" x14ac:dyDescent="0.3">
      <c r="D36" s="9"/>
      <c r="E36" s="9"/>
      <c r="G36" s="9"/>
      <c r="H36" s="9"/>
      <c r="L36" s="9"/>
      <c r="M36" s="9"/>
      <c r="N36" s="9"/>
      <c r="O36" s="9"/>
      <c r="Q36" s="9"/>
      <c r="R36" s="9"/>
      <c r="S36" s="9"/>
      <c r="U36" s="9"/>
    </row>
    <row r="37" spans="4:21" x14ac:dyDescent="0.3">
      <c r="D37" s="9"/>
      <c r="E37" s="9"/>
      <c r="G37" s="9"/>
      <c r="H37" s="9"/>
      <c r="L37" s="9"/>
      <c r="M37" s="9"/>
      <c r="N37" s="9"/>
      <c r="O37" s="9"/>
      <c r="Q37" s="9"/>
      <c r="R37" s="9"/>
      <c r="S37" s="9"/>
      <c r="U37" s="9"/>
    </row>
    <row r="38" spans="4:21" x14ac:dyDescent="0.3">
      <c r="D38" s="9"/>
      <c r="E38" s="9"/>
      <c r="G38" s="9"/>
      <c r="H38" s="9"/>
      <c r="L38" s="9"/>
      <c r="M38" s="9"/>
      <c r="N38" s="9"/>
      <c r="O38" s="9"/>
      <c r="Q38" s="9"/>
      <c r="R38" s="9"/>
      <c r="S38" s="9"/>
      <c r="U38" s="9"/>
    </row>
    <row r="39" spans="4:21" x14ac:dyDescent="0.3">
      <c r="D39" s="9"/>
      <c r="E39" s="9"/>
      <c r="G39" s="9"/>
      <c r="H39" s="9"/>
      <c r="L39" s="9"/>
      <c r="M39" s="9"/>
      <c r="N39" s="9"/>
      <c r="O39" s="9"/>
      <c r="Q39" s="9"/>
      <c r="R39" s="9"/>
      <c r="S39" s="9"/>
      <c r="U39" s="9"/>
    </row>
    <row r="40" spans="4:21" x14ac:dyDescent="0.3">
      <c r="D40" s="9"/>
      <c r="E40" s="9"/>
      <c r="G40" s="9"/>
      <c r="H40" s="9"/>
      <c r="L40" s="9"/>
      <c r="M40" s="9"/>
      <c r="N40" s="9"/>
      <c r="O40" s="9"/>
      <c r="Q40" s="9"/>
      <c r="R40" s="9"/>
      <c r="S40" s="9"/>
      <c r="U40" s="9"/>
    </row>
    <row r="41" spans="4:21" x14ac:dyDescent="0.3">
      <c r="D41" s="9"/>
      <c r="E41" s="9"/>
      <c r="G41" s="9"/>
      <c r="H41" s="9"/>
      <c r="L41" s="9"/>
      <c r="M41" s="9"/>
      <c r="N41" s="9"/>
      <c r="O41" s="9"/>
      <c r="Q41" s="9"/>
      <c r="R41" s="9"/>
      <c r="S41" s="9"/>
      <c r="U41" s="9"/>
    </row>
    <row r="42" spans="4:21" x14ac:dyDescent="0.3">
      <c r="D42" s="9"/>
      <c r="E42" s="9"/>
      <c r="G42" s="9"/>
      <c r="H42" s="9"/>
      <c r="L42" s="9"/>
      <c r="M42" s="9"/>
      <c r="N42" s="9"/>
      <c r="O42" s="9"/>
      <c r="Q42" s="9"/>
      <c r="R42" s="9"/>
      <c r="S42" s="9"/>
      <c r="U42" s="9"/>
    </row>
    <row r="43" spans="4:21" x14ac:dyDescent="0.3">
      <c r="D43" s="9"/>
      <c r="E43" s="9"/>
      <c r="G43" s="9"/>
      <c r="H43" s="9"/>
      <c r="L43" s="9"/>
      <c r="M43" s="9"/>
      <c r="N43" s="9"/>
      <c r="O43" s="9"/>
      <c r="Q43" s="9"/>
      <c r="R43" s="9"/>
      <c r="S43" s="9"/>
      <c r="U43" s="9"/>
    </row>
    <row r="44" spans="4:21" x14ac:dyDescent="0.3">
      <c r="D44" s="9"/>
      <c r="E44" s="9"/>
      <c r="G44" s="9"/>
      <c r="H44" s="9"/>
      <c r="L44" s="9"/>
      <c r="M44" s="9"/>
      <c r="N44" s="9"/>
      <c r="O44" s="9"/>
      <c r="Q44" s="9"/>
      <c r="R44" s="9"/>
      <c r="S44" s="9"/>
      <c r="U44" s="9"/>
    </row>
    <row r="45" spans="4:21" x14ac:dyDescent="0.3">
      <c r="D45" s="9"/>
      <c r="E45" s="9"/>
      <c r="G45" s="9"/>
      <c r="H45" s="9"/>
      <c r="L45" s="9"/>
      <c r="M45" s="9"/>
      <c r="N45" s="9"/>
      <c r="O45" s="9"/>
      <c r="Q45" s="9"/>
      <c r="R45" s="9"/>
      <c r="S45" s="9"/>
      <c r="U45" s="9"/>
    </row>
    <row r="46" spans="4:21" x14ac:dyDescent="0.3">
      <c r="D46" s="9"/>
      <c r="E46" s="9"/>
      <c r="G46" s="9"/>
      <c r="H46" s="9"/>
      <c r="L46" s="9"/>
      <c r="M46" s="9"/>
      <c r="N46" s="9"/>
      <c r="O46" s="9"/>
      <c r="Q46" s="9"/>
      <c r="R46" s="9"/>
      <c r="S46" s="9"/>
      <c r="U46" s="9"/>
    </row>
    <row r="47" spans="4:21" x14ac:dyDescent="0.3">
      <c r="D47" s="9"/>
      <c r="E47" s="9"/>
      <c r="G47" s="9"/>
      <c r="H47" s="9"/>
      <c r="L47" s="9"/>
      <c r="M47" s="9"/>
      <c r="N47" s="9"/>
      <c r="O47" s="9"/>
      <c r="Q47" s="9"/>
      <c r="R47" s="9"/>
      <c r="S47" s="9"/>
      <c r="U47" s="9"/>
    </row>
    <row r="48" spans="4:21" x14ac:dyDescent="0.3">
      <c r="D48" s="9"/>
      <c r="E48" s="9"/>
      <c r="G48" s="9"/>
      <c r="H48" s="9"/>
      <c r="L48" s="9"/>
      <c r="M48" s="9"/>
      <c r="N48" s="9"/>
      <c r="O48" s="9"/>
      <c r="Q48" s="9"/>
      <c r="R48" s="9"/>
      <c r="S48" s="9"/>
      <c r="U48" s="9"/>
    </row>
    <row r="49" spans="4:21" x14ac:dyDescent="0.3">
      <c r="D49" s="9"/>
      <c r="E49" s="9"/>
      <c r="G49" s="9"/>
      <c r="H49" s="9"/>
      <c r="L49" s="9"/>
      <c r="M49" s="9"/>
      <c r="N49" s="9"/>
      <c r="O49" s="9"/>
      <c r="Q49" s="9"/>
      <c r="R49" s="9"/>
      <c r="S49" s="9"/>
      <c r="U49" s="9"/>
    </row>
    <row r="50" spans="4:21" x14ac:dyDescent="0.3">
      <c r="D50" s="9"/>
      <c r="E50" s="9"/>
      <c r="G50" s="9"/>
      <c r="H50" s="9"/>
      <c r="L50" s="9"/>
      <c r="M50" s="9"/>
      <c r="N50" s="9"/>
      <c r="O50" s="9"/>
      <c r="Q50" s="9"/>
      <c r="R50" s="9"/>
      <c r="S50" s="9"/>
      <c r="U50" s="9"/>
    </row>
    <row r="51" spans="4:21" x14ac:dyDescent="0.3">
      <c r="D51" s="9"/>
      <c r="E51" s="9"/>
      <c r="G51" s="9"/>
      <c r="H51" s="9"/>
      <c r="L51" s="9"/>
      <c r="M51" s="9"/>
      <c r="N51" s="9"/>
      <c r="O51" s="9"/>
      <c r="Q51" s="9"/>
      <c r="R51" s="9"/>
      <c r="S51" s="9"/>
      <c r="U51" s="9"/>
    </row>
    <row r="52" spans="4:21" x14ac:dyDescent="0.3">
      <c r="D52" s="9"/>
      <c r="E52" s="9"/>
      <c r="G52" s="9"/>
      <c r="H52" s="9"/>
      <c r="L52" s="9"/>
      <c r="M52" s="9"/>
      <c r="N52" s="9"/>
      <c r="O52" s="9"/>
      <c r="Q52" s="9"/>
      <c r="R52" s="9"/>
      <c r="S52" s="9"/>
      <c r="U52" s="9"/>
    </row>
    <row r="53" spans="4:21" x14ac:dyDescent="0.3">
      <c r="D53" s="9"/>
      <c r="E53" s="9"/>
      <c r="G53" s="9"/>
      <c r="H53" s="9"/>
      <c r="L53" s="9"/>
      <c r="M53" s="9"/>
      <c r="N53" s="9"/>
      <c r="O53" s="9"/>
      <c r="Q53" s="9"/>
      <c r="R53" s="9"/>
      <c r="S53" s="9"/>
      <c r="U53" s="9"/>
    </row>
    <row r="54" spans="4:21" x14ac:dyDescent="0.3">
      <c r="D54" s="9"/>
      <c r="E54" s="9"/>
      <c r="G54" s="9"/>
      <c r="H54" s="9"/>
      <c r="L54" s="9"/>
      <c r="M54" s="9"/>
      <c r="N54" s="9"/>
      <c r="O54" s="9"/>
      <c r="Q54" s="9"/>
      <c r="R54" s="9"/>
      <c r="S54" s="9"/>
      <c r="U54" s="9"/>
    </row>
    <row r="55" spans="4:21" x14ac:dyDescent="0.3">
      <c r="D55" s="9"/>
      <c r="E55" s="9"/>
      <c r="G55" s="9"/>
      <c r="H55" s="9"/>
      <c r="L55" s="9"/>
      <c r="M55" s="9"/>
      <c r="N55" s="9"/>
      <c r="O55" s="9"/>
      <c r="Q55" s="9"/>
      <c r="R55" s="9"/>
      <c r="S55" s="9"/>
      <c r="U55" s="9"/>
    </row>
    <row r="56" spans="4:21" x14ac:dyDescent="0.3">
      <c r="D56" s="9"/>
      <c r="E56" s="9"/>
      <c r="G56" s="9"/>
      <c r="H56" s="9"/>
      <c r="L56" s="9"/>
      <c r="M56" s="9"/>
      <c r="N56" s="9"/>
      <c r="O56" s="9"/>
      <c r="Q56" s="9"/>
      <c r="R56" s="9"/>
      <c r="S56" s="9"/>
      <c r="U56" s="9"/>
    </row>
    <row r="57" spans="4:21" x14ac:dyDescent="0.3">
      <c r="D57" s="9"/>
      <c r="E57" s="9"/>
      <c r="G57" s="9"/>
      <c r="H57" s="9"/>
      <c r="L57" s="9"/>
      <c r="M57" s="9"/>
      <c r="N57" s="9"/>
      <c r="O57" s="9"/>
      <c r="Q57" s="9"/>
      <c r="R57" s="9"/>
      <c r="S57" s="9"/>
      <c r="U57" s="9"/>
    </row>
    <row r="58" spans="4:21" x14ac:dyDescent="0.3">
      <c r="D58" s="9"/>
      <c r="E58" s="9"/>
      <c r="G58" s="9"/>
      <c r="H58" s="9"/>
      <c r="L58" s="9"/>
      <c r="M58" s="9"/>
      <c r="N58" s="9"/>
      <c r="O58" s="9"/>
      <c r="Q58" s="9"/>
      <c r="R58" s="9"/>
      <c r="S58" s="9"/>
      <c r="U58" s="9"/>
    </row>
    <row r="59" spans="4:21" x14ac:dyDescent="0.3">
      <c r="D59" s="9"/>
      <c r="E59" s="9"/>
      <c r="G59" s="9"/>
      <c r="H59" s="9"/>
      <c r="L59" s="9"/>
      <c r="M59" s="9"/>
      <c r="N59" s="9"/>
      <c r="O59" s="9"/>
      <c r="Q59" s="9"/>
      <c r="R59" s="9"/>
      <c r="S59" s="9"/>
      <c r="U59" s="9"/>
    </row>
    <row r="60" spans="4:21" x14ac:dyDescent="0.3">
      <c r="D60" s="9"/>
      <c r="E60" s="9"/>
      <c r="G60" s="9"/>
      <c r="H60" s="9"/>
      <c r="L60" s="9"/>
      <c r="M60" s="9"/>
      <c r="N60" s="9"/>
      <c r="O60" s="9"/>
      <c r="Q60" s="9"/>
      <c r="R60" s="9"/>
      <c r="S60" s="9"/>
      <c r="U60" s="9"/>
    </row>
    <row r="61" spans="4:21" x14ac:dyDescent="0.3">
      <c r="D61" s="9"/>
      <c r="E61" s="9"/>
      <c r="G61" s="9"/>
      <c r="H61" s="9"/>
      <c r="L61" s="9"/>
      <c r="M61" s="9"/>
      <c r="N61" s="9"/>
      <c r="O61" s="9"/>
      <c r="Q61" s="9"/>
      <c r="R61" s="9"/>
      <c r="S61" s="9"/>
      <c r="U61" s="9"/>
    </row>
    <row r="62" spans="4:21" x14ac:dyDescent="0.3">
      <c r="D62" s="9"/>
      <c r="E62" s="9"/>
      <c r="G62" s="9"/>
      <c r="H62" s="9"/>
      <c r="L62" s="9"/>
      <c r="M62" s="9"/>
      <c r="N62" s="9"/>
      <c r="O62" s="9"/>
      <c r="Q62" s="9"/>
      <c r="R62" s="9"/>
      <c r="S62" s="9"/>
      <c r="U62" s="9"/>
    </row>
    <row r="63" spans="4:21" x14ac:dyDescent="0.3">
      <c r="D63" s="9"/>
      <c r="E63" s="9"/>
      <c r="G63" s="9"/>
      <c r="H63" s="9"/>
      <c r="L63" s="9"/>
      <c r="M63" s="9"/>
      <c r="N63" s="9"/>
      <c r="O63" s="9"/>
      <c r="Q63" s="9"/>
      <c r="R63" s="9"/>
      <c r="S63" s="9"/>
      <c r="U63" s="9"/>
    </row>
    <row r="64" spans="4:21" x14ac:dyDescent="0.3">
      <c r="D64" s="9"/>
      <c r="E64" s="9"/>
      <c r="G64" s="9"/>
      <c r="H64" s="9"/>
      <c r="L64" s="9"/>
      <c r="M64" s="9"/>
      <c r="N64" s="9"/>
      <c r="O64" s="9"/>
      <c r="Q64" s="9"/>
      <c r="R64" s="9"/>
      <c r="S64" s="9"/>
      <c r="U64" s="9"/>
    </row>
    <row r="65" spans="4:21" x14ac:dyDescent="0.3">
      <c r="D65" s="9"/>
      <c r="E65" s="9"/>
      <c r="G65" s="9"/>
      <c r="H65" s="9"/>
      <c r="L65" s="9"/>
      <c r="M65" s="9"/>
      <c r="N65" s="9"/>
      <c r="O65" s="9"/>
      <c r="Q65" s="9"/>
      <c r="R65" s="9"/>
      <c r="S65" s="9"/>
      <c r="U65" s="9"/>
    </row>
    <row r="66" spans="4:21" x14ac:dyDescent="0.3">
      <c r="D66" s="9"/>
      <c r="E66" s="9"/>
      <c r="G66" s="9"/>
      <c r="H66" s="9"/>
      <c r="L66" s="9"/>
      <c r="M66" s="9"/>
      <c r="N66" s="9"/>
      <c r="O66" s="9"/>
      <c r="Q66" s="9"/>
      <c r="R66" s="9"/>
      <c r="S66" s="9"/>
      <c r="U66" s="9"/>
    </row>
    <row r="67" spans="4:21" x14ac:dyDescent="0.3">
      <c r="D67" s="9"/>
      <c r="E67" s="9"/>
      <c r="G67" s="9"/>
      <c r="H67" s="9"/>
      <c r="L67" s="9"/>
      <c r="M67" s="9"/>
      <c r="N67" s="9"/>
      <c r="O67" s="9"/>
      <c r="Q67" s="9"/>
      <c r="R67" s="9"/>
      <c r="S67" s="9"/>
      <c r="U67" s="9"/>
    </row>
    <row r="68" spans="4:21" x14ac:dyDescent="0.3">
      <c r="D68" s="9"/>
      <c r="E68" s="9"/>
      <c r="G68" s="9"/>
      <c r="H68" s="9"/>
      <c r="L68" s="9"/>
      <c r="M68" s="9"/>
      <c r="N68" s="9"/>
      <c r="O68" s="9"/>
      <c r="Q68" s="9"/>
      <c r="R68" s="9"/>
      <c r="S68" s="9"/>
      <c r="U68" s="9"/>
    </row>
    <row r="69" spans="4:21" x14ac:dyDescent="0.3">
      <c r="D69" s="9"/>
      <c r="E69" s="9"/>
      <c r="G69" s="9"/>
      <c r="H69" s="9"/>
      <c r="L69" s="9"/>
      <c r="M69" s="9"/>
      <c r="N69" s="9"/>
      <c r="O69" s="9"/>
      <c r="Q69" s="9"/>
      <c r="R69" s="9"/>
      <c r="S69" s="9"/>
      <c r="U69" s="9"/>
    </row>
    <row r="70" spans="4:21" x14ac:dyDescent="0.3">
      <c r="D70" s="9"/>
      <c r="E70" s="9"/>
      <c r="G70" s="9"/>
      <c r="H70" s="9"/>
      <c r="L70" s="9"/>
      <c r="M70" s="9"/>
      <c r="N70" s="9"/>
      <c r="O70" s="9"/>
      <c r="Q70" s="9"/>
      <c r="R70" s="9"/>
      <c r="S70" s="9"/>
      <c r="U70" s="9"/>
    </row>
    <row r="71" spans="4:21" x14ac:dyDescent="0.3">
      <c r="D71" s="9"/>
      <c r="E71" s="9"/>
      <c r="G71" s="9"/>
      <c r="H71" s="9"/>
      <c r="L71" s="9"/>
      <c r="M71" s="9"/>
      <c r="N71" s="9"/>
      <c r="O71" s="9"/>
      <c r="Q71" s="9"/>
      <c r="R71" s="9"/>
      <c r="S71" s="9"/>
      <c r="U71" s="9"/>
    </row>
    <row r="72" spans="4:21" x14ac:dyDescent="0.3">
      <c r="D72" s="9"/>
      <c r="E72" s="9"/>
      <c r="G72" s="9"/>
      <c r="H72" s="9"/>
      <c r="L72" s="9"/>
      <c r="M72" s="9"/>
      <c r="N72" s="9"/>
      <c r="O72" s="9"/>
      <c r="Q72" s="9"/>
      <c r="R72" s="9"/>
      <c r="S72" s="9"/>
      <c r="U72" s="9"/>
    </row>
    <row r="73" spans="4:21" x14ac:dyDescent="0.3">
      <c r="D73" s="9"/>
      <c r="E73" s="9"/>
      <c r="G73" s="9"/>
      <c r="H73" s="9"/>
      <c r="L73" s="9"/>
      <c r="M73" s="9"/>
      <c r="N73" s="9"/>
      <c r="O73" s="9"/>
      <c r="Q73" s="9"/>
      <c r="R73" s="9"/>
      <c r="S73" s="9"/>
      <c r="U73" s="9"/>
    </row>
    <row r="74" spans="4:21" x14ac:dyDescent="0.3">
      <c r="D74" s="9"/>
      <c r="E74" s="9"/>
      <c r="G74" s="9"/>
      <c r="H74" s="9"/>
      <c r="L74" s="9"/>
      <c r="M74" s="9"/>
      <c r="N74" s="9"/>
      <c r="O74" s="9"/>
      <c r="Q74" s="9"/>
      <c r="R74" s="9"/>
      <c r="S74" s="9"/>
      <c r="U74" s="9"/>
    </row>
    <row r="75" spans="4:21" x14ac:dyDescent="0.3">
      <c r="D75" s="9"/>
      <c r="E75" s="9"/>
      <c r="G75" s="9"/>
      <c r="H75" s="9"/>
      <c r="L75" s="9"/>
      <c r="M75" s="9"/>
      <c r="N75" s="9"/>
      <c r="O75" s="9"/>
      <c r="Q75" s="9"/>
      <c r="R75" s="9"/>
      <c r="S75" s="9"/>
      <c r="U75" s="9"/>
    </row>
    <row r="76" spans="4:21" x14ac:dyDescent="0.3">
      <c r="D76" s="9"/>
      <c r="E76" s="9"/>
      <c r="G76" s="9"/>
      <c r="H76" s="9"/>
      <c r="L76" s="9"/>
      <c r="M76" s="9"/>
      <c r="N76" s="9"/>
      <c r="O76" s="9"/>
      <c r="Q76" s="9"/>
      <c r="R76" s="9"/>
      <c r="S76" s="9"/>
      <c r="U76" s="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C8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3" x14ac:dyDescent="0.3">
      <c r="A1" t="s">
        <v>85</v>
      </c>
      <c r="B1" t="s">
        <v>84</v>
      </c>
      <c r="C1" t="s">
        <v>11</v>
      </c>
    </row>
    <row r="2" spans="1:3" x14ac:dyDescent="0.3">
      <c r="C2" t="s">
        <v>83</v>
      </c>
    </row>
    <row r="3" spans="1:3" x14ac:dyDescent="0.3">
      <c r="A3" t="s">
        <v>56</v>
      </c>
      <c r="B3" t="s">
        <v>82</v>
      </c>
      <c r="C3" t="s">
        <v>81</v>
      </c>
    </row>
    <row r="4" spans="1:3" x14ac:dyDescent="0.3">
      <c r="A4" t="s">
        <v>80</v>
      </c>
      <c r="B4" t="s">
        <v>79</v>
      </c>
      <c r="C4" t="s">
        <v>78</v>
      </c>
    </row>
    <row r="5" spans="1:3" x14ac:dyDescent="0.3">
      <c r="A5" t="s">
        <v>55</v>
      </c>
      <c r="B5" t="s">
        <v>77</v>
      </c>
      <c r="C5" t="s">
        <v>76</v>
      </c>
    </row>
    <row r="7" spans="1:3" x14ac:dyDescent="0.3">
      <c r="A7" s="43">
        <v>1</v>
      </c>
    </row>
    <row r="8" spans="1:3" x14ac:dyDescent="0.3">
      <c r="A8" s="43">
        <v>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G7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7" ht="23.4" x14ac:dyDescent="0.45">
      <c r="A1" s="7" t="s">
        <v>10</v>
      </c>
    </row>
    <row r="4" spans="1:7" x14ac:dyDescent="0.3">
      <c r="A4" s="14" t="s">
        <v>12</v>
      </c>
      <c r="B4" s="15" t="s">
        <v>14</v>
      </c>
      <c r="C4" s="16" t="s">
        <v>13</v>
      </c>
      <c r="E4" s="6"/>
      <c r="F4" s="8"/>
      <c r="G4" s="6"/>
    </row>
    <row r="5" spans="1:7" x14ac:dyDescent="0.3">
      <c r="A5" t="s">
        <v>9</v>
      </c>
      <c r="B5" s="5" t="s">
        <v>8</v>
      </c>
      <c r="C5" t="str">
        <f>Currency</f>
        <v>NOK</v>
      </c>
      <c r="E5" s="2"/>
    </row>
    <row r="6" spans="1:7" x14ac:dyDescent="0.3">
      <c r="E6" s="2"/>
    </row>
    <row r="7" spans="1:7" x14ac:dyDescent="0.3">
      <c r="E7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9"/>
  <sheetViews>
    <sheetView showGridLines="0" zoomScale="85" zoomScaleNormal="85" workbookViewId="0"/>
  </sheetViews>
  <sheetFormatPr defaultColWidth="11.44140625" defaultRowHeight="14.4" x14ac:dyDescent="0.3"/>
  <cols>
    <col min="1" max="1" width="16" customWidth="1"/>
    <col min="2" max="2" width="55.44140625" bestFit="1" customWidth="1"/>
  </cols>
  <sheetData>
    <row r="1" spans="1:2" ht="23.4" x14ac:dyDescent="0.45">
      <c r="A1" s="7" t="s">
        <v>87</v>
      </c>
    </row>
    <row r="4" spans="1:2" x14ac:dyDescent="0.3">
      <c r="A4" t="s">
        <v>3</v>
      </c>
      <c r="B4" s="18">
        <v>24</v>
      </c>
    </row>
    <row r="5" spans="1:2" x14ac:dyDescent="0.3">
      <c r="A5" t="s">
        <v>2</v>
      </c>
      <c r="B5" s="18" t="s">
        <v>349</v>
      </c>
    </row>
    <row r="6" spans="1:2" x14ac:dyDescent="0.3">
      <c r="A6" t="s">
        <v>15</v>
      </c>
      <c r="B6" s="18" t="s">
        <v>347</v>
      </c>
    </row>
    <row r="7" spans="1:2" x14ac:dyDescent="0.3">
      <c r="A7" t="s">
        <v>16</v>
      </c>
      <c r="B7" s="18" t="s">
        <v>348</v>
      </c>
    </row>
    <row r="8" spans="1:2" x14ac:dyDescent="0.3">
      <c r="A8" t="s">
        <v>90</v>
      </c>
      <c r="B8" s="5" t="s">
        <v>315</v>
      </c>
    </row>
    <row r="9" spans="1:2" x14ac:dyDescent="0.3">
      <c r="A9" t="s">
        <v>133</v>
      </c>
      <c r="B9" s="5" t="s">
        <v>316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166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2" customWidth="1"/>
    <col min="2" max="3" width="11" style="4"/>
    <col min="4" max="16384" width="11" style="2"/>
  </cols>
  <sheetData>
    <row r="2" spans="2:11" ht="17.399999999999999" x14ac:dyDescent="0.3">
      <c r="K2" s="3"/>
    </row>
    <row r="5" spans="2:11" x14ac:dyDescent="0.3">
      <c r="D5" s="4"/>
      <c r="E5" s="24" t="s">
        <v>229</v>
      </c>
    </row>
    <row r="9" spans="2:11" ht="21" x14ac:dyDescent="0.4">
      <c r="B9" s="25" t="s">
        <v>224</v>
      </c>
      <c r="J9" s="11"/>
      <c r="K9" s="6" t="s">
        <v>223</v>
      </c>
    </row>
    <row r="10" spans="2:11" x14ac:dyDescent="0.3">
      <c r="B10" s="26" t="s">
        <v>353</v>
      </c>
    </row>
    <row r="11" spans="2:11" x14ac:dyDescent="0.3">
      <c r="B11" s="26" t="s">
        <v>354</v>
      </c>
    </row>
    <row r="12" spans="2:11" x14ac:dyDescent="0.3">
      <c r="B12" s="26" t="s">
        <v>355</v>
      </c>
    </row>
    <row r="13" spans="2:11" x14ac:dyDescent="0.3">
      <c r="B13" s="24"/>
    </row>
    <row r="14" spans="2:11" x14ac:dyDescent="0.3">
      <c r="B14" s="24"/>
    </row>
    <row r="15" spans="2:11" x14ac:dyDescent="0.3">
      <c r="B15" s="26"/>
    </row>
    <row r="16" spans="2:11" x14ac:dyDescent="0.3">
      <c r="B16" s="24"/>
    </row>
    <row r="17" spans="2:2" x14ac:dyDescent="0.3">
      <c r="B17" s="32"/>
    </row>
    <row r="18" spans="2:2" x14ac:dyDescent="0.3">
      <c r="B18" s="24"/>
    </row>
    <row r="19" spans="2:2" x14ac:dyDescent="0.3">
      <c r="B19" s="33"/>
    </row>
    <row r="20" spans="2:2" x14ac:dyDescent="0.3">
      <c r="B20" s="26"/>
    </row>
    <row r="21" spans="2:2" x14ac:dyDescent="0.3">
      <c r="B21" s="34"/>
    </row>
    <row r="22" spans="2:2" x14ac:dyDescent="0.3">
      <c r="B22" s="26"/>
    </row>
    <row r="23" spans="2:2" x14ac:dyDescent="0.3">
      <c r="B23" s="26"/>
    </row>
    <row r="24" spans="2:2" x14ac:dyDescent="0.3">
      <c r="B24" s="26"/>
    </row>
    <row r="25" spans="2:2" x14ac:dyDescent="0.3">
      <c r="B25" s="26"/>
    </row>
    <row r="30" spans="2:2" x14ac:dyDescent="0.3">
      <c r="B30" s="26"/>
    </row>
    <row r="53" spans="2:2" x14ac:dyDescent="0.3">
      <c r="B53" s="26"/>
    </row>
    <row r="54" spans="2:2" x14ac:dyDescent="0.3">
      <c r="B54" s="26"/>
    </row>
    <row r="82" spans="2:2" x14ac:dyDescent="0.3">
      <c r="B82" s="35"/>
    </row>
    <row r="113" spans="2:2" x14ac:dyDescent="0.3">
      <c r="B113" s="35"/>
    </row>
    <row r="114" spans="2:2" x14ac:dyDescent="0.3">
      <c r="B114" s="26"/>
    </row>
    <row r="132" spans="2:2" x14ac:dyDescent="0.3">
      <c r="B132" s="35"/>
    </row>
    <row r="166" spans="2:2" x14ac:dyDescent="0.3">
      <c r="B166" s="35"/>
    </row>
  </sheetData>
  <sheetProtection algorithmName="SHA-512" hashValue="aZsyTGRSvMf2Noo71aa452tcWAm9ZaRdgc/TM/TUn3/GENwPUUx2PCd9qAd+CgnjSvt/03pMFle0y8eDXVDTOw==" saltValue="yju0yVdiypOZ3EN8HF0rV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H325"/>
  <sheetViews>
    <sheetView showGridLines="0" zoomScale="85" zoomScaleNormal="85" workbookViewId="0">
      <pane xSplit="1" ySplit="14" topLeftCell="B15" activePane="bottomRight" state="frozen"/>
      <selection activeCell="B15" sqref="B15"/>
      <selection pane="topRight" activeCell="B15" sqref="B15"/>
      <selection pane="bottomLeft" activeCell="B15" sqref="B15"/>
      <selection pane="bottomRight" activeCell="B15" sqref="B15"/>
    </sheetView>
  </sheetViews>
  <sheetFormatPr defaultColWidth="11.33203125" defaultRowHeight="13.2" x14ac:dyDescent="0.25"/>
  <cols>
    <col min="1" max="1" width="19.109375" style="45" customWidth="1"/>
    <col min="2" max="2" width="43.109375" style="45" customWidth="1"/>
    <col min="3" max="3" width="10.21875" style="45" customWidth="1"/>
    <col min="4" max="4" width="10.5546875" style="45" customWidth="1"/>
    <col min="5" max="5" width="7.21875" style="45" customWidth="1"/>
    <col min="6" max="16384" width="11.33203125" style="45"/>
  </cols>
  <sheetData>
    <row r="1" spans="1:8" ht="21" x14ac:dyDescent="0.4">
      <c r="A1" s="44"/>
    </row>
    <row r="3" spans="1:8" x14ac:dyDescent="0.25">
      <c r="A3" s="46">
        <f>Updated</f>
        <v>0</v>
      </c>
    </row>
    <row r="4" spans="1:8" ht="14.4" x14ac:dyDescent="0.3">
      <c r="A4"/>
      <c r="B4"/>
    </row>
    <row r="5" spans="1:8" ht="14.4" x14ac:dyDescent="0.3">
      <c r="A5"/>
      <c r="B5"/>
    </row>
    <row r="6" spans="1:8" ht="14.4" x14ac:dyDescent="0.3">
      <c r="A6" s="47" t="s">
        <v>297</v>
      </c>
      <c r="B6" s="48" t="s">
        <v>132</v>
      </c>
    </row>
    <row r="7" spans="1:8" ht="14.4" x14ac:dyDescent="0.3">
      <c r="A7" s="47" t="s">
        <v>272</v>
      </c>
      <c r="B7" s="48" t="s">
        <v>132</v>
      </c>
    </row>
    <row r="8" spans="1:8" ht="14.4" x14ac:dyDescent="0.3">
      <c r="A8" s="47" t="s">
        <v>226</v>
      </c>
      <c r="B8" s="48" t="s">
        <v>132</v>
      </c>
    </row>
    <row r="9" spans="1:8" ht="14.4" x14ac:dyDescent="0.3">
      <c r="A9" s="47" t="s">
        <v>324</v>
      </c>
      <c r="B9" s="48" t="s">
        <v>132</v>
      </c>
    </row>
    <row r="10" spans="1:8" ht="14.4" x14ac:dyDescent="0.3">
      <c r="A10" s="47" t="s">
        <v>328</v>
      </c>
      <c r="B10" s="48" t="s">
        <v>132</v>
      </c>
    </row>
    <row r="11" spans="1:8" ht="14.4" x14ac:dyDescent="0.3">
      <c r="A11" s="47" t="s">
        <v>321</v>
      </c>
      <c r="B11" s="48" t="s">
        <v>132</v>
      </c>
    </row>
    <row r="12" spans="1:8" ht="14.4" x14ac:dyDescent="0.3">
      <c r="A12" s="47" t="s">
        <v>228</v>
      </c>
      <c r="B12" s="48" t="s">
        <v>132</v>
      </c>
    </row>
    <row r="13" spans="1:8" x14ac:dyDescent="0.25">
      <c r="A13" s="46"/>
    </row>
    <row r="14" spans="1:8" ht="14.4" x14ac:dyDescent="0.3">
      <c r="A14" s="1" t="s">
        <v>281</v>
      </c>
      <c r="B14" s="50" t="s">
        <v>264</v>
      </c>
      <c r="C14" s="52" t="s">
        <v>350</v>
      </c>
      <c r="D14" s="59" t="s">
        <v>351</v>
      </c>
      <c r="E14" s="57" t="s">
        <v>352</v>
      </c>
      <c r="F14"/>
      <c r="G14"/>
      <c r="H14"/>
    </row>
    <row r="15" spans="1:8" ht="14.4" x14ac:dyDescent="0.3">
      <c r="A15" s="54" t="s">
        <v>338</v>
      </c>
      <c r="B15" s="49" t="s">
        <v>339</v>
      </c>
      <c r="C15" s="74">
        <v>1.31</v>
      </c>
      <c r="D15" s="66">
        <v>0</v>
      </c>
      <c r="E15" s="69">
        <v>0</v>
      </c>
      <c r="F15"/>
      <c r="G15"/>
      <c r="H15"/>
    </row>
    <row r="16" spans="1:8" ht="14.4" x14ac:dyDescent="0.3">
      <c r="A16" s="55"/>
      <c r="B16" s="56"/>
      <c r="C16" s="76"/>
      <c r="D16" s="68"/>
      <c r="E16" s="71"/>
      <c r="F16"/>
      <c r="G16"/>
      <c r="H16"/>
    </row>
    <row r="17" spans="1:8" ht="15" thickBot="1" x14ac:dyDescent="0.35">
      <c r="A17" s="51" t="s">
        <v>131</v>
      </c>
      <c r="B17" s="12"/>
      <c r="C17" s="67">
        <v>1.31</v>
      </c>
      <c r="D17" s="67">
        <v>0</v>
      </c>
      <c r="E17" s="70">
        <v>0</v>
      </c>
      <c r="F17"/>
      <c r="G17"/>
      <c r="H17"/>
    </row>
    <row r="18" spans="1:8" ht="15" thickTop="1" x14ac:dyDescent="0.3">
      <c r="A18"/>
      <c r="B18"/>
      <c r="C18"/>
      <c r="D18"/>
      <c r="E18"/>
      <c r="F18"/>
      <c r="G18"/>
    </row>
    <row r="19" spans="1:8" ht="14.4" x14ac:dyDescent="0.3">
      <c r="A19"/>
      <c r="B19"/>
      <c r="C19"/>
      <c r="D19"/>
      <c r="E19"/>
      <c r="F19"/>
      <c r="G19"/>
    </row>
    <row r="20" spans="1:8" ht="14.4" x14ac:dyDescent="0.3">
      <c r="A20"/>
      <c r="B20"/>
      <c r="C20"/>
      <c r="D20"/>
      <c r="E20"/>
      <c r="F20"/>
      <c r="G20"/>
    </row>
    <row r="21" spans="1:8" ht="14.4" x14ac:dyDescent="0.3">
      <c r="A21"/>
      <c r="B21"/>
      <c r="C21"/>
      <c r="D21"/>
      <c r="E21"/>
      <c r="F21"/>
      <c r="G21"/>
    </row>
    <row r="22" spans="1:8" ht="14.4" x14ac:dyDescent="0.3">
      <c r="A22"/>
      <c r="B22"/>
      <c r="C22"/>
      <c r="D22"/>
      <c r="E22"/>
      <c r="F22"/>
      <c r="G22"/>
    </row>
    <row r="23" spans="1:8" ht="14.4" x14ac:dyDescent="0.3">
      <c r="A23"/>
      <c r="B23"/>
      <c r="C23"/>
      <c r="D23"/>
      <c r="E23"/>
      <c r="F23"/>
      <c r="G23"/>
    </row>
    <row r="24" spans="1:8" ht="14.4" x14ac:dyDescent="0.3">
      <c r="A24"/>
      <c r="B24"/>
      <c r="C24"/>
      <c r="D24"/>
      <c r="E24"/>
      <c r="F24"/>
      <c r="G24"/>
    </row>
    <row r="25" spans="1:8" ht="14.4" x14ac:dyDescent="0.3">
      <c r="A25"/>
      <c r="B25"/>
      <c r="C25"/>
      <c r="D25"/>
      <c r="E25"/>
      <c r="F25"/>
      <c r="G25"/>
    </row>
    <row r="26" spans="1:8" ht="14.4" x14ac:dyDescent="0.3">
      <c r="A26"/>
      <c r="B26"/>
      <c r="C26"/>
      <c r="D26"/>
      <c r="E26"/>
      <c r="F26"/>
      <c r="G26"/>
    </row>
    <row r="27" spans="1:8" ht="14.4" x14ac:dyDescent="0.3">
      <c r="A27"/>
      <c r="B27"/>
      <c r="C27"/>
      <c r="D27"/>
      <c r="E27"/>
      <c r="F27"/>
      <c r="G27"/>
    </row>
    <row r="28" spans="1:8" ht="14.4" x14ac:dyDescent="0.3">
      <c r="A28"/>
      <c r="B28"/>
      <c r="C28"/>
      <c r="D28"/>
      <c r="E28"/>
    </row>
    <row r="29" spans="1:8" ht="14.4" x14ac:dyDescent="0.3">
      <c r="A29"/>
      <c r="B29"/>
      <c r="C29"/>
      <c r="D29"/>
      <c r="E29"/>
    </row>
    <row r="30" spans="1:8" ht="14.4" x14ac:dyDescent="0.3">
      <c r="A30"/>
      <c r="B30"/>
      <c r="C30"/>
      <c r="D30"/>
      <c r="E30"/>
    </row>
    <row r="31" spans="1:8" ht="14.4" x14ac:dyDescent="0.3">
      <c r="A31"/>
      <c r="B31"/>
      <c r="C31"/>
      <c r="D31"/>
      <c r="E31"/>
    </row>
    <row r="32" spans="1:8" ht="14.4" x14ac:dyDescent="0.3">
      <c r="A32"/>
      <c r="B32"/>
      <c r="C32"/>
      <c r="D32"/>
      <c r="E32"/>
    </row>
    <row r="33" spans="1:5" ht="14.4" x14ac:dyDescent="0.3">
      <c r="A33"/>
      <c r="B33"/>
      <c r="C33"/>
      <c r="D33"/>
      <c r="E33"/>
    </row>
    <row r="34" spans="1:5" ht="14.4" x14ac:dyDescent="0.3">
      <c r="A34"/>
      <c r="B34"/>
      <c r="C34"/>
      <c r="D34"/>
      <c r="E34"/>
    </row>
    <row r="35" spans="1:5" ht="14.4" x14ac:dyDescent="0.3">
      <c r="A35"/>
      <c r="B35"/>
      <c r="C35"/>
      <c r="D35"/>
      <c r="E35"/>
    </row>
    <row r="36" spans="1:5" ht="14.4" x14ac:dyDescent="0.3">
      <c r="A36"/>
      <c r="B36"/>
      <c r="C36"/>
      <c r="D36"/>
      <c r="E36"/>
    </row>
    <row r="37" spans="1:5" ht="14.4" x14ac:dyDescent="0.3">
      <c r="A37"/>
      <c r="B37"/>
      <c r="C37"/>
      <c r="D37"/>
      <c r="E37"/>
    </row>
    <row r="38" spans="1:5" ht="14.4" x14ac:dyDescent="0.3">
      <c r="A38"/>
      <c r="B38"/>
      <c r="C38"/>
      <c r="D38"/>
      <c r="E38"/>
    </row>
    <row r="39" spans="1:5" ht="14.4" x14ac:dyDescent="0.3">
      <c r="A39"/>
      <c r="B39"/>
      <c r="C39"/>
      <c r="D39"/>
      <c r="E39"/>
    </row>
    <row r="40" spans="1:5" ht="14.4" x14ac:dyDescent="0.3">
      <c r="A40"/>
      <c r="B40"/>
      <c r="C40"/>
      <c r="D40"/>
      <c r="E40"/>
    </row>
    <row r="41" spans="1:5" ht="14.4" x14ac:dyDescent="0.3">
      <c r="A41"/>
      <c r="B41"/>
      <c r="C41"/>
      <c r="D41"/>
      <c r="E41"/>
    </row>
    <row r="42" spans="1:5" ht="14.4" x14ac:dyDescent="0.3">
      <c r="A42"/>
      <c r="B42"/>
      <c r="C42"/>
      <c r="D42"/>
      <c r="E42"/>
    </row>
    <row r="43" spans="1:5" ht="14.4" x14ac:dyDescent="0.3">
      <c r="A43"/>
      <c r="B43"/>
      <c r="C43"/>
      <c r="D43"/>
      <c r="E43"/>
    </row>
    <row r="44" spans="1:5" ht="14.4" x14ac:dyDescent="0.3">
      <c r="A44"/>
      <c r="B44"/>
      <c r="C44"/>
      <c r="D44"/>
      <c r="E44"/>
    </row>
    <row r="45" spans="1:5" ht="14.4" x14ac:dyDescent="0.3">
      <c r="A45"/>
      <c r="B45"/>
      <c r="C45"/>
      <c r="D45"/>
      <c r="E45"/>
    </row>
    <row r="46" spans="1:5" ht="14.4" x14ac:dyDescent="0.3">
      <c r="A46"/>
      <c r="B46"/>
      <c r="C46"/>
      <c r="D46"/>
      <c r="E46"/>
    </row>
    <row r="47" spans="1:5" ht="14.4" x14ac:dyDescent="0.3">
      <c r="A47"/>
      <c r="B47"/>
      <c r="C47"/>
      <c r="D47"/>
      <c r="E47"/>
    </row>
    <row r="48" spans="1:5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4.4" x14ac:dyDescent="0.3">
      <c r="A54"/>
      <c r="B54"/>
      <c r="C54"/>
      <c r="D54"/>
      <c r="E54"/>
    </row>
    <row r="55" spans="1:5" ht="14.4" x14ac:dyDescent="0.3">
      <c r="A55"/>
      <c r="B55"/>
      <c r="C55"/>
      <c r="D55"/>
      <c r="E55"/>
    </row>
    <row r="56" spans="1:5" ht="14.4" x14ac:dyDescent="0.3">
      <c r="A56"/>
      <c r="B56"/>
      <c r="C56"/>
      <c r="D56"/>
      <c r="E56"/>
    </row>
    <row r="57" spans="1:5" ht="14.4" x14ac:dyDescent="0.3">
      <c r="A57"/>
      <c r="B57"/>
      <c r="C57"/>
      <c r="D57"/>
      <c r="E57"/>
    </row>
    <row r="58" spans="1:5" ht="14.4" x14ac:dyDescent="0.3">
      <c r="A58"/>
      <c r="B58"/>
      <c r="C58"/>
      <c r="D58"/>
      <c r="E58"/>
    </row>
    <row r="59" spans="1:5" ht="14.4" x14ac:dyDescent="0.3">
      <c r="A59"/>
      <c r="B59"/>
      <c r="C59"/>
      <c r="D59"/>
      <c r="E59"/>
    </row>
    <row r="60" spans="1:5" ht="14.4" x14ac:dyDescent="0.3">
      <c r="A60"/>
      <c r="B60"/>
      <c r="C60"/>
      <c r="D60"/>
      <c r="E60"/>
    </row>
    <row r="61" spans="1:5" ht="14.4" x14ac:dyDescent="0.3">
      <c r="A61"/>
      <c r="B61"/>
      <c r="C61"/>
      <c r="D61"/>
      <c r="E61"/>
    </row>
    <row r="62" spans="1:5" ht="14.4" x14ac:dyDescent="0.3">
      <c r="A62"/>
      <c r="B62"/>
      <c r="C62"/>
      <c r="D62"/>
      <c r="E62"/>
    </row>
    <row r="63" spans="1:5" ht="14.4" x14ac:dyDescent="0.3">
      <c r="A63"/>
      <c r="B63"/>
      <c r="C63"/>
      <c r="D63"/>
      <c r="E63"/>
    </row>
    <row r="64" spans="1:5" ht="14.4" x14ac:dyDescent="0.3">
      <c r="A64"/>
      <c r="B64"/>
      <c r="C64"/>
      <c r="D64"/>
      <c r="E64"/>
    </row>
    <row r="65" spans="1:5" ht="14.4" x14ac:dyDescent="0.3">
      <c r="A65"/>
      <c r="B65"/>
      <c r="C65"/>
      <c r="D65"/>
      <c r="E65"/>
    </row>
    <row r="66" spans="1:5" ht="14.4" x14ac:dyDescent="0.3">
      <c r="A66"/>
      <c r="B66"/>
      <c r="C66"/>
      <c r="D66"/>
      <c r="E66"/>
    </row>
    <row r="67" spans="1:5" ht="14.4" x14ac:dyDescent="0.3">
      <c r="A67"/>
      <c r="B67"/>
      <c r="C67"/>
      <c r="D67"/>
      <c r="E67"/>
    </row>
    <row r="68" spans="1:5" ht="14.4" x14ac:dyDescent="0.3">
      <c r="A68"/>
      <c r="B68"/>
      <c r="C68"/>
      <c r="D68"/>
      <c r="E68"/>
    </row>
    <row r="69" spans="1:5" ht="14.4" x14ac:dyDescent="0.3">
      <c r="A69"/>
      <c r="B69"/>
      <c r="C69"/>
      <c r="D69"/>
      <c r="E69"/>
    </row>
    <row r="70" spans="1:5" ht="14.4" x14ac:dyDescent="0.3">
      <c r="A70"/>
      <c r="B70"/>
      <c r="C70"/>
      <c r="D70"/>
      <c r="E70"/>
    </row>
    <row r="71" spans="1:5" ht="14.4" x14ac:dyDescent="0.3">
      <c r="A71"/>
      <c r="B71"/>
      <c r="C71"/>
      <c r="D71"/>
      <c r="E71"/>
    </row>
    <row r="72" spans="1:5" ht="14.4" x14ac:dyDescent="0.3">
      <c r="A72"/>
      <c r="B72"/>
      <c r="C72"/>
      <c r="D72"/>
      <c r="E72"/>
    </row>
    <row r="73" spans="1:5" ht="14.4" x14ac:dyDescent="0.3">
      <c r="A73"/>
      <c r="B73"/>
      <c r="C73"/>
      <c r="D73"/>
      <c r="E73"/>
    </row>
    <row r="74" spans="1:5" ht="14.4" x14ac:dyDescent="0.3">
      <c r="A74"/>
      <c r="B74"/>
      <c r="C74"/>
      <c r="D74"/>
      <c r="E74"/>
    </row>
    <row r="75" spans="1:5" ht="14.4" x14ac:dyDescent="0.3">
      <c r="A75"/>
      <c r="B75"/>
      <c r="C75"/>
      <c r="D75"/>
      <c r="E75"/>
    </row>
    <row r="76" spans="1:5" ht="14.4" x14ac:dyDescent="0.3">
      <c r="A76"/>
      <c r="B76"/>
      <c r="C76"/>
      <c r="D76"/>
      <c r="E76"/>
    </row>
    <row r="77" spans="1:5" ht="14.4" x14ac:dyDescent="0.3">
      <c r="A77"/>
      <c r="B77"/>
      <c r="C77"/>
      <c r="D77"/>
      <c r="E77"/>
    </row>
    <row r="78" spans="1:5" ht="14.4" x14ac:dyDescent="0.3">
      <c r="A78"/>
      <c r="B78"/>
      <c r="C78"/>
      <c r="D78"/>
      <c r="E78"/>
    </row>
    <row r="79" spans="1:5" ht="14.4" x14ac:dyDescent="0.3">
      <c r="A79"/>
      <c r="B79"/>
      <c r="C79"/>
      <c r="D79"/>
      <c r="E79"/>
    </row>
    <row r="80" spans="1:5" ht="14.4" x14ac:dyDescent="0.3">
      <c r="A80"/>
      <c r="B80"/>
      <c r="C80"/>
      <c r="D80"/>
      <c r="E80"/>
    </row>
    <row r="81" spans="1:5" ht="14.4" x14ac:dyDescent="0.3">
      <c r="A81"/>
      <c r="B81"/>
      <c r="C81"/>
      <c r="D81"/>
      <c r="E81"/>
    </row>
    <row r="82" spans="1:5" ht="14.4" x14ac:dyDescent="0.3">
      <c r="A82"/>
      <c r="B82"/>
      <c r="C82"/>
      <c r="D82"/>
      <c r="E82"/>
    </row>
    <row r="83" spans="1:5" ht="14.4" x14ac:dyDescent="0.3">
      <c r="A83"/>
      <c r="B83"/>
      <c r="C83"/>
      <c r="D83"/>
      <c r="E83"/>
    </row>
    <row r="84" spans="1:5" ht="14.4" x14ac:dyDescent="0.3">
      <c r="A84"/>
      <c r="B84"/>
      <c r="C84"/>
      <c r="D84"/>
      <c r="E84"/>
    </row>
    <row r="85" spans="1:5" ht="14.4" x14ac:dyDescent="0.3">
      <c r="A85"/>
      <c r="B85"/>
      <c r="C85"/>
      <c r="D85"/>
      <c r="E85"/>
    </row>
    <row r="86" spans="1:5" ht="14.4" x14ac:dyDescent="0.3">
      <c r="A86"/>
      <c r="B86"/>
      <c r="C86"/>
      <c r="D86"/>
      <c r="E86"/>
    </row>
    <row r="87" spans="1:5" ht="14.4" x14ac:dyDescent="0.3">
      <c r="A87"/>
      <c r="B87"/>
      <c r="C87"/>
      <c r="D87"/>
      <c r="E87"/>
    </row>
    <row r="88" spans="1:5" ht="14.4" x14ac:dyDescent="0.3">
      <c r="A88"/>
      <c r="B88"/>
      <c r="C88"/>
      <c r="D88"/>
      <c r="E88"/>
    </row>
    <row r="89" spans="1:5" ht="14.4" x14ac:dyDescent="0.3">
      <c r="A89"/>
      <c r="B89"/>
      <c r="C89"/>
      <c r="D89"/>
      <c r="E89"/>
    </row>
    <row r="90" spans="1:5" ht="14.4" x14ac:dyDescent="0.3">
      <c r="A90"/>
      <c r="B90"/>
      <c r="C90"/>
      <c r="D90"/>
      <c r="E90"/>
    </row>
    <row r="91" spans="1:5" ht="14.4" x14ac:dyDescent="0.3">
      <c r="A91"/>
      <c r="B91"/>
      <c r="C91"/>
      <c r="D91"/>
      <c r="E91"/>
    </row>
    <row r="92" spans="1:5" ht="14.4" x14ac:dyDescent="0.3">
      <c r="A92"/>
      <c r="B92"/>
      <c r="C92"/>
      <c r="D92"/>
      <c r="E92"/>
    </row>
    <row r="93" spans="1:5" ht="14.4" x14ac:dyDescent="0.3">
      <c r="A93"/>
      <c r="B93"/>
      <c r="C93"/>
      <c r="D93"/>
      <c r="E93"/>
    </row>
    <row r="94" spans="1:5" ht="14.4" x14ac:dyDescent="0.3">
      <c r="A94"/>
      <c r="B94"/>
      <c r="C94"/>
      <c r="D94"/>
      <c r="E94"/>
    </row>
    <row r="95" spans="1:5" ht="14.4" x14ac:dyDescent="0.3">
      <c r="A95"/>
      <c r="B95"/>
      <c r="C95"/>
      <c r="D95"/>
      <c r="E95"/>
    </row>
    <row r="96" spans="1:5" ht="14.4" x14ac:dyDescent="0.3">
      <c r="A96"/>
      <c r="B96"/>
      <c r="C96"/>
      <c r="D96"/>
      <c r="E96"/>
    </row>
    <row r="97" spans="1:5" ht="14.4" x14ac:dyDescent="0.3">
      <c r="A97"/>
      <c r="B97"/>
      <c r="C97"/>
      <c r="D97"/>
      <c r="E97"/>
    </row>
    <row r="98" spans="1:5" ht="14.4" x14ac:dyDescent="0.3">
      <c r="A98"/>
      <c r="B98"/>
      <c r="C98"/>
      <c r="D98"/>
      <c r="E98"/>
    </row>
    <row r="99" spans="1:5" ht="14.4" x14ac:dyDescent="0.3">
      <c r="A99"/>
      <c r="B99"/>
      <c r="C99"/>
      <c r="D99"/>
      <c r="E99"/>
    </row>
    <row r="100" spans="1:5" ht="14.4" x14ac:dyDescent="0.3">
      <c r="A100"/>
      <c r="B100"/>
      <c r="C100"/>
      <c r="D100"/>
      <c r="E100"/>
    </row>
    <row r="101" spans="1:5" ht="14.4" x14ac:dyDescent="0.3">
      <c r="A101"/>
      <c r="B101"/>
      <c r="C101"/>
      <c r="D101"/>
      <c r="E101"/>
    </row>
    <row r="102" spans="1:5" ht="14.4" x14ac:dyDescent="0.3">
      <c r="A102"/>
      <c r="B102"/>
      <c r="C102"/>
      <c r="D102"/>
      <c r="E102"/>
    </row>
    <row r="103" spans="1:5" ht="14.4" x14ac:dyDescent="0.3">
      <c r="A103"/>
      <c r="B103"/>
      <c r="C103"/>
      <c r="D103"/>
      <c r="E103"/>
    </row>
    <row r="104" spans="1:5" ht="14.4" x14ac:dyDescent="0.3">
      <c r="A104"/>
      <c r="B104"/>
      <c r="C104"/>
      <c r="D104"/>
      <c r="E104"/>
    </row>
    <row r="105" spans="1:5" ht="14.4" x14ac:dyDescent="0.3">
      <c r="A105"/>
      <c r="B105"/>
      <c r="C105"/>
      <c r="D105"/>
      <c r="E105"/>
    </row>
    <row r="106" spans="1:5" ht="14.4" x14ac:dyDescent="0.3">
      <c r="A106"/>
      <c r="B106"/>
      <c r="C106"/>
      <c r="D106"/>
      <c r="E106"/>
    </row>
    <row r="107" spans="1:5" ht="14.4" x14ac:dyDescent="0.3">
      <c r="A107"/>
      <c r="B107"/>
      <c r="C107"/>
      <c r="D107"/>
      <c r="E107"/>
    </row>
    <row r="108" spans="1:5" ht="14.4" x14ac:dyDescent="0.3">
      <c r="A108"/>
      <c r="B108"/>
      <c r="C108"/>
      <c r="D108"/>
      <c r="E108"/>
    </row>
    <row r="109" spans="1:5" ht="14.4" x14ac:dyDescent="0.3">
      <c r="A109"/>
      <c r="B109"/>
      <c r="C109"/>
      <c r="D109"/>
      <c r="E109"/>
    </row>
    <row r="110" spans="1:5" ht="14.4" x14ac:dyDescent="0.3">
      <c r="A110"/>
      <c r="B110"/>
      <c r="C110"/>
      <c r="D110"/>
      <c r="E110"/>
    </row>
    <row r="111" spans="1:5" ht="14.4" x14ac:dyDescent="0.3">
      <c r="A111"/>
      <c r="B111"/>
      <c r="C111"/>
      <c r="D111"/>
      <c r="E111"/>
    </row>
    <row r="112" spans="1:5" ht="14.4" x14ac:dyDescent="0.3">
      <c r="A112"/>
      <c r="B112"/>
      <c r="C112"/>
      <c r="D112"/>
      <c r="E112"/>
    </row>
    <row r="113" spans="1:5" ht="14.4" x14ac:dyDescent="0.3">
      <c r="A113"/>
      <c r="B113"/>
      <c r="C113"/>
      <c r="D113"/>
      <c r="E113"/>
    </row>
    <row r="114" spans="1:5" ht="14.4" x14ac:dyDescent="0.3">
      <c r="A114"/>
      <c r="B114"/>
      <c r="C114"/>
      <c r="D114"/>
      <c r="E114"/>
    </row>
    <row r="115" spans="1:5" ht="14.4" x14ac:dyDescent="0.3">
      <c r="A115"/>
      <c r="B115"/>
      <c r="C115"/>
      <c r="D115"/>
      <c r="E115"/>
    </row>
    <row r="116" spans="1:5" ht="14.4" x14ac:dyDescent="0.3">
      <c r="A116"/>
      <c r="B116"/>
      <c r="C116"/>
      <c r="D116"/>
      <c r="E116"/>
    </row>
    <row r="117" spans="1:5" ht="14.4" x14ac:dyDescent="0.3">
      <c r="A117"/>
      <c r="B117"/>
      <c r="C117"/>
      <c r="D117"/>
      <c r="E117"/>
    </row>
    <row r="118" spans="1:5" ht="14.4" x14ac:dyDescent="0.3">
      <c r="A118"/>
      <c r="B118"/>
      <c r="C118"/>
      <c r="D118"/>
      <c r="E118"/>
    </row>
    <row r="119" spans="1:5" ht="14.4" x14ac:dyDescent="0.3">
      <c r="A119"/>
      <c r="B119"/>
      <c r="C119"/>
      <c r="D119"/>
      <c r="E119"/>
    </row>
    <row r="120" spans="1:5" ht="14.4" x14ac:dyDescent="0.3">
      <c r="A120"/>
      <c r="B120"/>
      <c r="C120"/>
      <c r="D120"/>
      <c r="E120"/>
    </row>
    <row r="121" spans="1:5" ht="14.4" x14ac:dyDescent="0.3">
      <c r="A121"/>
      <c r="B121"/>
      <c r="C121"/>
      <c r="D121"/>
      <c r="E121"/>
    </row>
    <row r="122" spans="1:5" ht="14.4" x14ac:dyDescent="0.3">
      <c r="A122"/>
      <c r="B122"/>
      <c r="C122"/>
      <c r="D122"/>
      <c r="E122"/>
    </row>
    <row r="123" spans="1:5" ht="14.4" x14ac:dyDescent="0.3">
      <c r="A123"/>
      <c r="B123"/>
      <c r="C123"/>
      <c r="D123"/>
      <c r="E123"/>
    </row>
    <row r="124" spans="1:5" ht="14.4" x14ac:dyDescent="0.3">
      <c r="A124"/>
      <c r="B124"/>
      <c r="C124"/>
      <c r="D124"/>
      <c r="E124"/>
    </row>
    <row r="125" spans="1:5" ht="14.4" x14ac:dyDescent="0.3">
      <c r="A125"/>
      <c r="B125"/>
      <c r="C125"/>
      <c r="D125"/>
      <c r="E125"/>
    </row>
    <row r="126" spans="1:5" ht="14.4" x14ac:dyDescent="0.3">
      <c r="A126"/>
      <c r="B126"/>
      <c r="C126"/>
      <c r="D126"/>
      <c r="E126"/>
    </row>
    <row r="127" spans="1:5" ht="14.4" x14ac:dyDescent="0.3">
      <c r="A127"/>
      <c r="B127"/>
      <c r="C127"/>
      <c r="D127"/>
      <c r="E127"/>
    </row>
    <row r="128" spans="1:5" ht="14.4" x14ac:dyDescent="0.3">
      <c r="A128"/>
      <c r="B128"/>
      <c r="C128"/>
      <c r="D128"/>
      <c r="E128"/>
    </row>
    <row r="129" spans="1:5" ht="14.4" x14ac:dyDescent="0.3">
      <c r="A129"/>
      <c r="B129"/>
      <c r="C129"/>
      <c r="D129"/>
      <c r="E129"/>
    </row>
    <row r="130" spans="1:5" ht="14.4" x14ac:dyDescent="0.3">
      <c r="A130"/>
      <c r="B130"/>
      <c r="C130"/>
      <c r="D130"/>
      <c r="E130"/>
    </row>
    <row r="131" spans="1:5" ht="14.4" x14ac:dyDescent="0.3">
      <c r="A131"/>
      <c r="B131"/>
      <c r="C131"/>
      <c r="D131"/>
      <c r="E131"/>
    </row>
    <row r="132" spans="1:5" ht="14.4" x14ac:dyDescent="0.3">
      <c r="A132"/>
      <c r="B132"/>
      <c r="C132"/>
      <c r="D132"/>
      <c r="E132"/>
    </row>
    <row r="133" spans="1:5" ht="14.4" x14ac:dyDescent="0.3">
      <c r="A133"/>
      <c r="B133"/>
      <c r="C133"/>
      <c r="D133"/>
      <c r="E133"/>
    </row>
    <row r="134" spans="1:5" ht="14.4" x14ac:dyDescent="0.3">
      <c r="A134"/>
      <c r="B134"/>
      <c r="C134"/>
      <c r="D134"/>
      <c r="E134"/>
    </row>
    <row r="135" spans="1:5" ht="14.4" x14ac:dyDescent="0.3">
      <c r="A135"/>
      <c r="B135"/>
      <c r="C135"/>
      <c r="D135"/>
      <c r="E135"/>
    </row>
    <row r="136" spans="1:5" ht="14.4" x14ac:dyDescent="0.3">
      <c r="A136"/>
      <c r="B136"/>
      <c r="C136"/>
      <c r="D136"/>
      <c r="E136"/>
    </row>
    <row r="137" spans="1:5" ht="14.4" x14ac:dyDescent="0.3">
      <c r="A137"/>
      <c r="B137"/>
      <c r="C137"/>
      <c r="D137"/>
      <c r="E137"/>
    </row>
    <row r="138" spans="1:5" ht="14.4" x14ac:dyDescent="0.3">
      <c r="A138"/>
      <c r="B138"/>
      <c r="C138"/>
      <c r="D138"/>
      <c r="E138"/>
    </row>
    <row r="139" spans="1:5" ht="14.4" x14ac:dyDescent="0.3">
      <c r="A139"/>
      <c r="B139"/>
      <c r="C139"/>
      <c r="D139"/>
      <c r="E139"/>
    </row>
    <row r="140" spans="1:5" ht="14.4" x14ac:dyDescent="0.3">
      <c r="A140"/>
      <c r="B140"/>
      <c r="C140"/>
      <c r="D140"/>
      <c r="E140"/>
    </row>
    <row r="141" spans="1:5" ht="14.4" x14ac:dyDescent="0.3">
      <c r="A141"/>
      <c r="B141"/>
      <c r="C141"/>
      <c r="D141"/>
      <c r="E141"/>
    </row>
    <row r="142" spans="1:5" ht="14.4" x14ac:dyDescent="0.3">
      <c r="A142"/>
      <c r="B142"/>
      <c r="C142"/>
      <c r="D142"/>
      <c r="E142"/>
    </row>
    <row r="143" spans="1:5" ht="14.4" x14ac:dyDescent="0.3">
      <c r="A143"/>
      <c r="B143"/>
      <c r="C143"/>
      <c r="D143"/>
      <c r="E143"/>
    </row>
    <row r="144" spans="1:5" ht="14.4" x14ac:dyDescent="0.3">
      <c r="A144"/>
      <c r="B144"/>
      <c r="C144"/>
      <c r="D144"/>
      <c r="E144"/>
    </row>
    <row r="145" spans="1:5" ht="14.4" x14ac:dyDescent="0.3">
      <c r="A145"/>
      <c r="B145"/>
      <c r="C145"/>
      <c r="D145"/>
      <c r="E145"/>
    </row>
    <row r="146" spans="1:5" ht="14.4" x14ac:dyDescent="0.3">
      <c r="A146"/>
      <c r="B146"/>
      <c r="C146"/>
      <c r="D146"/>
      <c r="E146"/>
    </row>
    <row r="147" spans="1:5" ht="14.4" x14ac:dyDescent="0.3">
      <c r="A147"/>
      <c r="B147"/>
      <c r="C147"/>
      <c r="D147"/>
      <c r="E147"/>
    </row>
    <row r="148" spans="1:5" ht="14.4" x14ac:dyDescent="0.3">
      <c r="A148"/>
      <c r="B148"/>
      <c r="C148"/>
      <c r="D148"/>
      <c r="E148"/>
    </row>
    <row r="149" spans="1:5" ht="14.4" x14ac:dyDescent="0.3">
      <c r="A149"/>
      <c r="B149"/>
      <c r="C149"/>
      <c r="D149"/>
      <c r="E149"/>
    </row>
    <row r="150" spans="1:5" ht="14.4" x14ac:dyDescent="0.3">
      <c r="A150"/>
      <c r="B150"/>
      <c r="C150"/>
      <c r="D150"/>
      <c r="E150"/>
    </row>
    <row r="151" spans="1:5" ht="14.4" x14ac:dyDescent="0.3">
      <c r="A151"/>
      <c r="B151"/>
      <c r="C151"/>
      <c r="D151"/>
      <c r="E151"/>
    </row>
    <row r="152" spans="1:5" ht="14.4" x14ac:dyDescent="0.3">
      <c r="A152"/>
      <c r="B152"/>
      <c r="C152"/>
      <c r="D152"/>
      <c r="E152"/>
    </row>
    <row r="153" spans="1:5" ht="14.4" x14ac:dyDescent="0.3">
      <c r="A153"/>
      <c r="B153"/>
      <c r="C153"/>
      <c r="D153"/>
      <c r="E153"/>
    </row>
    <row r="154" spans="1:5" ht="14.4" x14ac:dyDescent="0.3">
      <c r="A154"/>
      <c r="B154"/>
      <c r="C154"/>
      <c r="D154"/>
      <c r="E154"/>
    </row>
    <row r="155" spans="1:5" ht="14.4" x14ac:dyDescent="0.3">
      <c r="A155"/>
      <c r="B155"/>
      <c r="C155"/>
      <c r="D155"/>
      <c r="E155"/>
    </row>
    <row r="156" spans="1:5" ht="14.4" x14ac:dyDescent="0.3">
      <c r="A156"/>
      <c r="B156"/>
      <c r="C156"/>
      <c r="D156"/>
      <c r="E156"/>
    </row>
    <row r="157" spans="1:5" ht="14.4" x14ac:dyDescent="0.3">
      <c r="A157"/>
      <c r="B157"/>
      <c r="C157"/>
      <c r="D157"/>
      <c r="E157"/>
    </row>
    <row r="158" spans="1:5" ht="14.4" x14ac:dyDescent="0.3">
      <c r="A158"/>
      <c r="B158"/>
      <c r="C158"/>
      <c r="D158"/>
      <c r="E158"/>
    </row>
    <row r="159" spans="1:5" ht="14.4" x14ac:dyDescent="0.3">
      <c r="A159"/>
      <c r="B159"/>
      <c r="C159"/>
      <c r="D159"/>
      <c r="E159"/>
    </row>
    <row r="160" spans="1:5" ht="14.4" x14ac:dyDescent="0.3">
      <c r="A160"/>
      <c r="B160"/>
      <c r="C160"/>
      <c r="D160"/>
      <c r="E160"/>
    </row>
    <row r="161" spans="1:5" ht="14.4" x14ac:dyDescent="0.3">
      <c r="A161"/>
      <c r="B161"/>
      <c r="C161"/>
      <c r="D161"/>
      <c r="E161"/>
    </row>
    <row r="162" spans="1:5" ht="14.4" x14ac:dyDescent="0.3">
      <c r="A162"/>
      <c r="B162"/>
      <c r="C162"/>
      <c r="D162"/>
      <c r="E162"/>
    </row>
    <row r="163" spans="1:5" ht="14.4" x14ac:dyDescent="0.3">
      <c r="A163"/>
      <c r="B163"/>
      <c r="C163"/>
      <c r="D163"/>
      <c r="E163"/>
    </row>
    <row r="164" spans="1:5" ht="14.4" x14ac:dyDescent="0.3">
      <c r="A164"/>
      <c r="B164"/>
      <c r="C164"/>
      <c r="D164"/>
      <c r="E164"/>
    </row>
    <row r="165" spans="1:5" ht="14.4" x14ac:dyDescent="0.3">
      <c r="A165"/>
      <c r="B165"/>
      <c r="C165"/>
      <c r="D165"/>
      <c r="E165"/>
    </row>
    <row r="166" spans="1:5" ht="14.4" x14ac:dyDescent="0.3">
      <c r="A166"/>
      <c r="B166"/>
      <c r="C166"/>
      <c r="D166"/>
      <c r="E166"/>
    </row>
    <row r="167" spans="1:5" ht="14.4" x14ac:dyDescent="0.3">
      <c r="A167"/>
      <c r="B167"/>
      <c r="C167"/>
      <c r="D167"/>
      <c r="E167"/>
    </row>
    <row r="168" spans="1:5" ht="14.4" x14ac:dyDescent="0.3">
      <c r="A168"/>
      <c r="B168"/>
      <c r="C168"/>
      <c r="D168"/>
      <c r="E168"/>
    </row>
    <row r="169" spans="1:5" ht="14.4" x14ac:dyDescent="0.3">
      <c r="A169"/>
      <c r="B169"/>
      <c r="C169"/>
      <c r="D169"/>
      <c r="E169"/>
    </row>
    <row r="170" spans="1:5" ht="14.4" x14ac:dyDescent="0.3">
      <c r="A170"/>
      <c r="B170"/>
      <c r="C170"/>
      <c r="D170"/>
      <c r="E170"/>
    </row>
    <row r="171" spans="1:5" ht="14.4" x14ac:dyDescent="0.3">
      <c r="A171"/>
      <c r="B171"/>
      <c r="C171"/>
      <c r="D171"/>
      <c r="E171"/>
    </row>
    <row r="172" spans="1:5" ht="14.4" x14ac:dyDescent="0.3">
      <c r="A172"/>
      <c r="B172"/>
      <c r="C172"/>
      <c r="D172"/>
      <c r="E172"/>
    </row>
    <row r="173" spans="1:5" ht="14.4" x14ac:dyDescent="0.3">
      <c r="A173"/>
      <c r="B173"/>
      <c r="C173"/>
      <c r="D173"/>
      <c r="E173"/>
    </row>
    <row r="174" spans="1:5" ht="14.4" x14ac:dyDescent="0.3">
      <c r="A174"/>
      <c r="B174"/>
      <c r="C174"/>
      <c r="D174"/>
      <c r="E174"/>
    </row>
    <row r="175" spans="1:5" ht="14.4" x14ac:dyDescent="0.3">
      <c r="A175"/>
      <c r="B175"/>
      <c r="C175"/>
      <c r="D175"/>
      <c r="E175"/>
    </row>
    <row r="176" spans="1:5" ht="14.4" x14ac:dyDescent="0.3">
      <c r="A176"/>
      <c r="B176"/>
      <c r="C176"/>
      <c r="D176"/>
      <c r="E176"/>
    </row>
    <row r="177" spans="1:5" ht="14.4" x14ac:dyDescent="0.3">
      <c r="A177"/>
      <c r="B177"/>
      <c r="C177"/>
      <c r="D177"/>
      <c r="E177"/>
    </row>
    <row r="178" spans="1:5" ht="14.4" x14ac:dyDescent="0.3">
      <c r="A178"/>
      <c r="B178"/>
      <c r="C178"/>
      <c r="D178"/>
      <c r="E178"/>
    </row>
    <row r="179" spans="1:5" ht="14.4" x14ac:dyDescent="0.3">
      <c r="A179"/>
      <c r="B179"/>
      <c r="C179"/>
      <c r="D179"/>
      <c r="E179"/>
    </row>
    <row r="180" spans="1:5" ht="14.4" x14ac:dyDescent="0.3">
      <c r="A180"/>
      <c r="B180"/>
      <c r="C180"/>
      <c r="D180"/>
      <c r="E180"/>
    </row>
    <row r="181" spans="1:5" ht="14.4" x14ac:dyDescent="0.3">
      <c r="A181"/>
      <c r="B181"/>
      <c r="C181"/>
      <c r="D181"/>
      <c r="E181"/>
    </row>
    <row r="182" spans="1:5" ht="14.4" x14ac:dyDescent="0.3">
      <c r="A182"/>
      <c r="B182"/>
      <c r="C182"/>
      <c r="D182"/>
      <c r="E182"/>
    </row>
    <row r="183" spans="1:5" ht="14.4" x14ac:dyDescent="0.3">
      <c r="A183"/>
      <c r="B183"/>
      <c r="C183"/>
      <c r="D183"/>
      <c r="E183"/>
    </row>
    <row r="184" spans="1:5" ht="14.4" x14ac:dyDescent="0.3">
      <c r="A184"/>
      <c r="B184"/>
      <c r="C184"/>
      <c r="D184"/>
      <c r="E184"/>
    </row>
    <row r="185" spans="1:5" ht="14.4" x14ac:dyDescent="0.3">
      <c r="A185"/>
      <c r="B185"/>
      <c r="C185"/>
      <c r="D185"/>
      <c r="E185"/>
    </row>
    <row r="186" spans="1:5" ht="14.4" x14ac:dyDescent="0.3">
      <c r="A186"/>
      <c r="B186"/>
      <c r="C186"/>
      <c r="D186"/>
      <c r="E186"/>
    </row>
    <row r="187" spans="1:5" ht="14.4" x14ac:dyDescent="0.3">
      <c r="A187"/>
      <c r="B187"/>
      <c r="C187"/>
      <c r="D187"/>
      <c r="E187"/>
    </row>
    <row r="188" spans="1:5" ht="14.4" x14ac:dyDescent="0.3">
      <c r="A188"/>
      <c r="B188"/>
      <c r="C188"/>
      <c r="D188"/>
      <c r="E188"/>
    </row>
    <row r="189" spans="1:5" ht="14.4" x14ac:dyDescent="0.3">
      <c r="A189"/>
      <c r="B189"/>
      <c r="C189"/>
      <c r="D189"/>
      <c r="E189"/>
    </row>
    <row r="190" spans="1:5" ht="14.4" x14ac:dyDescent="0.3">
      <c r="A190"/>
      <c r="B190"/>
      <c r="C190"/>
      <c r="D190"/>
      <c r="E190"/>
    </row>
    <row r="191" spans="1:5" ht="14.4" x14ac:dyDescent="0.3">
      <c r="A191"/>
      <c r="B191"/>
      <c r="C191"/>
      <c r="D191"/>
      <c r="E191"/>
    </row>
    <row r="192" spans="1:5" ht="14.4" x14ac:dyDescent="0.3">
      <c r="A192"/>
      <c r="B192"/>
      <c r="C192"/>
      <c r="D192"/>
      <c r="E192"/>
    </row>
    <row r="193" spans="1:5" ht="14.4" x14ac:dyDescent="0.3">
      <c r="A193"/>
      <c r="B193"/>
      <c r="C193"/>
      <c r="D193"/>
      <c r="E193"/>
    </row>
    <row r="194" spans="1:5" ht="14.4" x14ac:dyDescent="0.3">
      <c r="A194"/>
      <c r="B194"/>
      <c r="C194"/>
      <c r="D194"/>
      <c r="E194"/>
    </row>
    <row r="195" spans="1:5" ht="14.4" x14ac:dyDescent="0.3">
      <c r="A195"/>
      <c r="B195"/>
      <c r="C195"/>
      <c r="D195"/>
      <c r="E195"/>
    </row>
    <row r="196" spans="1:5" ht="14.4" x14ac:dyDescent="0.3">
      <c r="A196"/>
      <c r="B196"/>
      <c r="C196"/>
      <c r="D196"/>
      <c r="E196"/>
    </row>
    <row r="197" spans="1:5" ht="14.4" x14ac:dyDescent="0.3">
      <c r="A197"/>
      <c r="B197"/>
      <c r="C197"/>
      <c r="D197"/>
      <c r="E197"/>
    </row>
    <row r="198" spans="1:5" ht="14.4" x14ac:dyDescent="0.3">
      <c r="A198"/>
      <c r="B198"/>
      <c r="C198"/>
      <c r="D198"/>
      <c r="E198"/>
    </row>
    <row r="199" spans="1:5" ht="14.4" x14ac:dyDescent="0.3">
      <c r="A199"/>
      <c r="B199"/>
      <c r="C199"/>
      <c r="D199"/>
      <c r="E199"/>
    </row>
    <row r="200" spans="1:5" ht="14.4" x14ac:dyDescent="0.3">
      <c r="A200"/>
      <c r="B200"/>
      <c r="C200"/>
      <c r="D200"/>
      <c r="E200"/>
    </row>
    <row r="201" spans="1:5" ht="14.4" x14ac:dyDescent="0.3">
      <c r="A201"/>
      <c r="B201"/>
      <c r="C201"/>
      <c r="D201"/>
      <c r="E201"/>
    </row>
    <row r="202" spans="1:5" ht="14.4" x14ac:dyDescent="0.3">
      <c r="A202"/>
      <c r="B202"/>
      <c r="C202"/>
      <c r="D202"/>
      <c r="E202"/>
    </row>
    <row r="203" spans="1:5" ht="14.4" x14ac:dyDescent="0.3">
      <c r="A203"/>
      <c r="B203"/>
      <c r="C203"/>
      <c r="D203"/>
      <c r="E203"/>
    </row>
    <row r="204" spans="1:5" ht="14.4" x14ac:dyDescent="0.3">
      <c r="A204"/>
      <c r="B204"/>
      <c r="C204"/>
      <c r="D204"/>
      <c r="E204"/>
    </row>
    <row r="205" spans="1:5" ht="14.4" x14ac:dyDescent="0.3">
      <c r="A205"/>
      <c r="B205"/>
      <c r="C205"/>
      <c r="D205"/>
      <c r="E205"/>
    </row>
    <row r="206" spans="1:5" ht="14.4" x14ac:dyDescent="0.3">
      <c r="A206"/>
      <c r="B206"/>
      <c r="C206"/>
      <c r="D206"/>
      <c r="E206"/>
    </row>
    <row r="207" spans="1:5" ht="14.4" x14ac:dyDescent="0.3">
      <c r="A207"/>
      <c r="B207"/>
      <c r="C207"/>
      <c r="D207"/>
      <c r="E207"/>
    </row>
    <row r="208" spans="1:5" ht="14.4" x14ac:dyDescent="0.3">
      <c r="A208"/>
      <c r="B208"/>
      <c r="C208"/>
      <c r="D208"/>
      <c r="E208"/>
    </row>
    <row r="209" spans="1:5" ht="14.4" x14ac:dyDescent="0.3">
      <c r="A209"/>
      <c r="B209"/>
      <c r="C209"/>
      <c r="D209"/>
      <c r="E209"/>
    </row>
    <row r="210" spans="1:5" ht="14.4" x14ac:dyDescent="0.3">
      <c r="A210"/>
      <c r="B210"/>
      <c r="C210"/>
      <c r="D210"/>
      <c r="E210"/>
    </row>
    <row r="211" spans="1:5" ht="14.4" x14ac:dyDescent="0.3">
      <c r="A211"/>
      <c r="B211"/>
      <c r="C211"/>
      <c r="D211"/>
      <c r="E211"/>
    </row>
    <row r="212" spans="1:5" ht="14.4" x14ac:dyDescent="0.3">
      <c r="A212"/>
      <c r="B212"/>
      <c r="C212"/>
      <c r="D212"/>
      <c r="E212"/>
    </row>
    <row r="213" spans="1:5" ht="14.4" x14ac:dyDescent="0.3">
      <c r="A213"/>
      <c r="B213"/>
      <c r="C213"/>
      <c r="D213"/>
      <c r="E213"/>
    </row>
    <row r="214" spans="1:5" ht="14.4" x14ac:dyDescent="0.3">
      <c r="A214"/>
      <c r="B214"/>
      <c r="C214"/>
      <c r="D214"/>
      <c r="E214"/>
    </row>
    <row r="215" spans="1:5" ht="14.4" x14ac:dyDescent="0.3">
      <c r="A215"/>
      <c r="B215"/>
      <c r="C215"/>
      <c r="D215"/>
      <c r="E215"/>
    </row>
    <row r="216" spans="1:5" ht="14.4" x14ac:dyDescent="0.3">
      <c r="A216"/>
      <c r="B216"/>
      <c r="C216"/>
      <c r="D216"/>
      <c r="E216"/>
    </row>
    <row r="217" spans="1:5" ht="14.4" x14ac:dyDescent="0.3">
      <c r="A217"/>
      <c r="B217"/>
      <c r="C217"/>
      <c r="D217"/>
      <c r="E217"/>
    </row>
    <row r="218" spans="1:5" ht="14.4" x14ac:dyDescent="0.3">
      <c r="A218"/>
      <c r="B218"/>
      <c r="C218"/>
      <c r="D218"/>
      <c r="E218"/>
    </row>
    <row r="219" spans="1:5" ht="14.4" x14ac:dyDescent="0.3">
      <c r="A219"/>
      <c r="B219"/>
      <c r="C219"/>
      <c r="D219"/>
      <c r="E219"/>
    </row>
    <row r="220" spans="1:5" ht="14.4" x14ac:dyDescent="0.3">
      <c r="A220"/>
      <c r="B220"/>
      <c r="C220"/>
      <c r="D220"/>
      <c r="E220"/>
    </row>
    <row r="221" spans="1:5" ht="14.4" x14ac:dyDescent="0.3">
      <c r="A221"/>
      <c r="B221"/>
      <c r="C221"/>
      <c r="D221"/>
      <c r="E221"/>
    </row>
    <row r="222" spans="1:5" ht="14.4" x14ac:dyDescent="0.3">
      <c r="A222"/>
      <c r="B222"/>
      <c r="C222"/>
      <c r="D222"/>
      <c r="E222"/>
    </row>
    <row r="223" spans="1:5" ht="14.4" x14ac:dyDescent="0.3">
      <c r="A223"/>
      <c r="B223"/>
      <c r="C223"/>
      <c r="D223"/>
      <c r="E223"/>
    </row>
    <row r="224" spans="1:5" ht="14.4" x14ac:dyDescent="0.3">
      <c r="A224"/>
      <c r="B224"/>
      <c r="C224"/>
      <c r="D224"/>
      <c r="E224"/>
    </row>
    <row r="225" spans="1:5" ht="14.4" x14ac:dyDescent="0.3">
      <c r="A225"/>
      <c r="B225"/>
      <c r="C225"/>
      <c r="D225"/>
      <c r="E225"/>
    </row>
    <row r="226" spans="1:5" ht="14.4" x14ac:dyDescent="0.3">
      <c r="A226"/>
      <c r="B226"/>
      <c r="C226"/>
      <c r="D226"/>
      <c r="E226"/>
    </row>
    <row r="227" spans="1:5" ht="14.4" x14ac:dyDescent="0.3">
      <c r="A227"/>
      <c r="B227"/>
      <c r="C227"/>
      <c r="D227"/>
      <c r="E227"/>
    </row>
    <row r="228" spans="1:5" ht="14.4" x14ac:dyDescent="0.3">
      <c r="A228"/>
      <c r="B228"/>
      <c r="C228"/>
      <c r="D228"/>
      <c r="E228"/>
    </row>
    <row r="229" spans="1:5" ht="14.4" x14ac:dyDescent="0.3">
      <c r="A229"/>
      <c r="B229"/>
      <c r="C229"/>
      <c r="D229"/>
      <c r="E229"/>
    </row>
    <row r="230" spans="1:5" ht="14.4" x14ac:dyDescent="0.3">
      <c r="A230"/>
      <c r="B230"/>
      <c r="C230"/>
      <c r="D230"/>
      <c r="E230"/>
    </row>
    <row r="231" spans="1:5" ht="14.4" x14ac:dyDescent="0.3">
      <c r="A231"/>
      <c r="B231"/>
      <c r="C231"/>
      <c r="D231"/>
      <c r="E231"/>
    </row>
    <row r="232" spans="1:5" ht="14.4" x14ac:dyDescent="0.3">
      <c r="A232"/>
      <c r="B232"/>
      <c r="C232"/>
      <c r="D232"/>
      <c r="E232"/>
    </row>
    <row r="233" spans="1:5" ht="14.4" x14ac:dyDescent="0.3">
      <c r="A233"/>
      <c r="B233"/>
      <c r="C233"/>
      <c r="D233"/>
      <c r="E233"/>
    </row>
    <row r="234" spans="1:5" ht="14.4" x14ac:dyDescent="0.3">
      <c r="A234"/>
      <c r="B234"/>
      <c r="C234"/>
      <c r="D234"/>
      <c r="E234"/>
    </row>
    <row r="235" spans="1:5" ht="14.4" x14ac:dyDescent="0.3">
      <c r="A235"/>
      <c r="B235"/>
      <c r="C235"/>
      <c r="D235"/>
      <c r="E235"/>
    </row>
    <row r="236" spans="1:5" ht="14.4" x14ac:dyDescent="0.3">
      <c r="A236"/>
      <c r="B236"/>
      <c r="C236"/>
      <c r="D236"/>
      <c r="E236"/>
    </row>
    <row r="237" spans="1:5" ht="14.4" x14ac:dyDescent="0.3">
      <c r="A237"/>
      <c r="B237"/>
      <c r="C237"/>
      <c r="D237"/>
      <c r="E237"/>
    </row>
    <row r="238" spans="1:5" ht="14.4" x14ac:dyDescent="0.3">
      <c r="A238"/>
      <c r="B238"/>
      <c r="C238"/>
      <c r="D238"/>
      <c r="E238"/>
    </row>
    <row r="239" spans="1:5" ht="14.4" x14ac:dyDescent="0.3">
      <c r="A239"/>
      <c r="B239"/>
      <c r="C239"/>
      <c r="D239"/>
      <c r="E239"/>
    </row>
    <row r="240" spans="1:5" ht="14.4" x14ac:dyDescent="0.3">
      <c r="A240"/>
      <c r="B240"/>
      <c r="C240"/>
      <c r="D240"/>
      <c r="E240"/>
    </row>
    <row r="241" spans="1:5" ht="14.4" x14ac:dyDescent="0.3">
      <c r="A241"/>
      <c r="B241"/>
      <c r="C241"/>
      <c r="D241"/>
      <c r="E241"/>
    </row>
    <row r="242" spans="1:5" ht="14.4" x14ac:dyDescent="0.3">
      <c r="A242"/>
      <c r="B242"/>
      <c r="C242"/>
      <c r="D242"/>
      <c r="E242"/>
    </row>
    <row r="243" spans="1:5" ht="14.4" x14ac:dyDescent="0.3">
      <c r="A243"/>
      <c r="B243"/>
      <c r="C243"/>
      <c r="D243"/>
      <c r="E243"/>
    </row>
    <row r="244" spans="1:5" ht="14.4" x14ac:dyDescent="0.3">
      <c r="A244"/>
      <c r="B244"/>
      <c r="C244"/>
      <c r="D244"/>
      <c r="E244"/>
    </row>
    <row r="245" spans="1:5" ht="14.4" x14ac:dyDescent="0.3">
      <c r="A245"/>
      <c r="B245"/>
      <c r="C245"/>
      <c r="D245"/>
      <c r="E245"/>
    </row>
    <row r="246" spans="1:5" ht="14.4" x14ac:dyDescent="0.3">
      <c r="A246"/>
      <c r="B246"/>
      <c r="C246"/>
      <c r="D246"/>
      <c r="E246"/>
    </row>
    <row r="247" spans="1:5" ht="14.4" x14ac:dyDescent="0.3">
      <c r="A247"/>
      <c r="B247"/>
      <c r="C247"/>
      <c r="D247"/>
      <c r="E247"/>
    </row>
    <row r="248" spans="1:5" ht="14.4" x14ac:dyDescent="0.3">
      <c r="A248"/>
      <c r="B248"/>
      <c r="C248"/>
      <c r="D248"/>
      <c r="E248"/>
    </row>
    <row r="249" spans="1:5" ht="14.4" x14ac:dyDescent="0.3">
      <c r="A249"/>
      <c r="B249"/>
      <c r="C249"/>
      <c r="D249"/>
      <c r="E249"/>
    </row>
    <row r="250" spans="1:5" ht="14.4" x14ac:dyDescent="0.3">
      <c r="A250"/>
      <c r="B250"/>
      <c r="C250"/>
      <c r="D250"/>
      <c r="E250"/>
    </row>
    <row r="251" spans="1:5" ht="14.4" x14ac:dyDescent="0.3">
      <c r="A251"/>
      <c r="B251"/>
      <c r="C251"/>
      <c r="D251"/>
      <c r="E251"/>
    </row>
    <row r="252" spans="1:5" ht="14.4" x14ac:dyDescent="0.3">
      <c r="A252"/>
      <c r="B252"/>
      <c r="C252"/>
      <c r="D252"/>
      <c r="E252"/>
    </row>
    <row r="253" spans="1:5" ht="14.4" x14ac:dyDescent="0.3">
      <c r="A253"/>
      <c r="B253"/>
      <c r="C253"/>
      <c r="D253"/>
      <c r="E253"/>
    </row>
    <row r="254" spans="1:5" ht="14.4" x14ac:dyDescent="0.3">
      <c r="A254"/>
      <c r="B254"/>
      <c r="C254"/>
      <c r="D254"/>
      <c r="E254"/>
    </row>
    <row r="255" spans="1:5" ht="14.4" x14ac:dyDescent="0.3">
      <c r="A255"/>
      <c r="B255"/>
      <c r="C255"/>
      <c r="D255"/>
      <c r="E255"/>
    </row>
    <row r="256" spans="1:5" ht="14.4" x14ac:dyDescent="0.3">
      <c r="A256"/>
      <c r="B256"/>
      <c r="C256"/>
      <c r="D256"/>
      <c r="E256"/>
    </row>
    <row r="257" spans="1:5" ht="14.4" x14ac:dyDescent="0.3">
      <c r="A257"/>
      <c r="B257"/>
      <c r="C257"/>
      <c r="D257"/>
      <c r="E257"/>
    </row>
    <row r="258" spans="1:5" ht="14.4" x14ac:dyDescent="0.3">
      <c r="A258"/>
      <c r="B258"/>
      <c r="C258"/>
      <c r="D258"/>
      <c r="E258"/>
    </row>
    <row r="259" spans="1:5" ht="14.4" x14ac:dyDescent="0.3">
      <c r="A259"/>
      <c r="B259"/>
      <c r="C259"/>
      <c r="D259"/>
      <c r="E259"/>
    </row>
    <row r="260" spans="1:5" ht="14.4" x14ac:dyDescent="0.3">
      <c r="A260"/>
      <c r="B260"/>
      <c r="C260"/>
      <c r="D260"/>
      <c r="E260"/>
    </row>
    <row r="261" spans="1:5" ht="14.4" x14ac:dyDescent="0.3">
      <c r="A261"/>
      <c r="B261"/>
      <c r="C261"/>
      <c r="D261"/>
      <c r="E261"/>
    </row>
    <row r="262" spans="1:5" ht="14.4" x14ac:dyDescent="0.3">
      <c r="A262"/>
      <c r="B262"/>
      <c r="C262"/>
      <c r="D262"/>
      <c r="E262"/>
    </row>
    <row r="263" spans="1:5" ht="14.4" x14ac:dyDescent="0.3">
      <c r="A263"/>
      <c r="B263"/>
      <c r="C263"/>
      <c r="D263"/>
      <c r="E263"/>
    </row>
    <row r="264" spans="1:5" ht="14.4" x14ac:dyDescent="0.3">
      <c r="A264"/>
      <c r="B264"/>
      <c r="C264"/>
      <c r="D264"/>
      <c r="E264"/>
    </row>
    <row r="265" spans="1:5" ht="14.4" x14ac:dyDescent="0.3">
      <c r="A265"/>
      <c r="B265"/>
      <c r="C265"/>
      <c r="D265"/>
      <c r="E265"/>
    </row>
    <row r="266" spans="1:5" ht="14.4" x14ac:dyDescent="0.3">
      <c r="A266"/>
      <c r="B266"/>
      <c r="C266"/>
      <c r="D266"/>
      <c r="E266"/>
    </row>
    <row r="267" spans="1:5" ht="15" thickBot="1" x14ac:dyDescent="0.35">
      <c r="A267"/>
      <c r="B267"/>
      <c r="C267"/>
      <c r="D267"/>
      <c r="E267"/>
    </row>
    <row r="268" spans="1:5" ht="15" thickTop="1" x14ac:dyDescent="0.3">
      <c r="A268"/>
      <c r="B268"/>
      <c r="C268"/>
      <c r="D268"/>
      <c r="E268"/>
    </row>
    <row r="269" spans="1:5" ht="14.4" x14ac:dyDescent="0.3">
      <c r="A269"/>
      <c r="B269"/>
      <c r="C269"/>
      <c r="D269"/>
      <c r="E269"/>
    </row>
    <row r="270" spans="1:5" ht="14.4" x14ac:dyDescent="0.3">
      <c r="A270"/>
      <c r="B270"/>
      <c r="C270"/>
      <c r="D270"/>
      <c r="E270"/>
    </row>
    <row r="271" spans="1:5" ht="14.4" x14ac:dyDescent="0.3">
      <c r="A271"/>
      <c r="B271"/>
      <c r="C271"/>
      <c r="D271"/>
      <c r="E271"/>
    </row>
    <row r="272" spans="1:5" ht="14.4" x14ac:dyDescent="0.3">
      <c r="A272"/>
      <c r="B272"/>
      <c r="C272"/>
      <c r="D272"/>
      <c r="E272"/>
    </row>
    <row r="273" spans="1:5" ht="14.4" x14ac:dyDescent="0.3">
      <c r="A273"/>
      <c r="B273"/>
      <c r="C273"/>
      <c r="D273"/>
      <c r="E273"/>
    </row>
    <row r="274" spans="1:5" ht="14.4" x14ac:dyDescent="0.3">
      <c r="A274"/>
      <c r="B274"/>
      <c r="C274"/>
      <c r="D274"/>
      <c r="E274"/>
    </row>
    <row r="275" spans="1:5" ht="14.4" x14ac:dyDescent="0.3">
      <c r="A275"/>
      <c r="B275"/>
      <c r="C275"/>
      <c r="D275"/>
      <c r="E275"/>
    </row>
    <row r="276" spans="1:5" ht="14.4" x14ac:dyDescent="0.3">
      <c r="A276"/>
      <c r="B276"/>
      <c r="C276"/>
      <c r="D276"/>
      <c r="E276"/>
    </row>
    <row r="277" spans="1:5" ht="14.4" x14ac:dyDescent="0.3">
      <c r="A277"/>
      <c r="B277"/>
      <c r="C277"/>
      <c r="D277"/>
      <c r="E277"/>
    </row>
    <row r="278" spans="1:5" ht="14.4" x14ac:dyDescent="0.3">
      <c r="A278"/>
      <c r="B278"/>
      <c r="C278"/>
      <c r="D278"/>
      <c r="E278"/>
    </row>
    <row r="279" spans="1:5" ht="14.4" x14ac:dyDescent="0.3">
      <c r="A279"/>
      <c r="B279"/>
      <c r="C279"/>
      <c r="D279"/>
      <c r="E279"/>
    </row>
    <row r="280" spans="1:5" ht="14.4" x14ac:dyDescent="0.3">
      <c r="A280"/>
      <c r="B280"/>
      <c r="C280"/>
      <c r="D280"/>
      <c r="E280"/>
    </row>
    <row r="281" spans="1:5" ht="14.4" x14ac:dyDescent="0.3">
      <c r="A281"/>
      <c r="B281"/>
      <c r="C281"/>
      <c r="D281"/>
      <c r="E281"/>
    </row>
    <row r="282" spans="1:5" ht="14.4" x14ac:dyDescent="0.3">
      <c r="A282"/>
      <c r="B282"/>
      <c r="C282"/>
      <c r="D282"/>
      <c r="E282"/>
    </row>
    <row r="283" spans="1:5" ht="14.4" x14ac:dyDescent="0.3">
      <c r="A283"/>
      <c r="B283"/>
      <c r="C283"/>
      <c r="D283"/>
      <c r="E283"/>
    </row>
    <row r="284" spans="1:5" ht="14.4" x14ac:dyDescent="0.3">
      <c r="A284"/>
      <c r="B284"/>
      <c r="C284"/>
      <c r="D284"/>
      <c r="E284"/>
    </row>
    <row r="285" spans="1:5" ht="14.4" x14ac:dyDescent="0.3">
      <c r="A285"/>
      <c r="B285"/>
      <c r="C285"/>
      <c r="D285"/>
      <c r="E285"/>
    </row>
    <row r="286" spans="1:5" ht="14.4" x14ac:dyDescent="0.3">
      <c r="A286"/>
      <c r="B286"/>
      <c r="C286"/>
      <c r="D286"/>
      <c r="E286"/>
    </row>
    <row r="287" spans="1:5" ht="14.4" x14ac:dyDescent="0.3">
      <c r="A287"/>
      <c r="B287"/>
      <c r="C287"/>
      <c r="D287"/>
      <c r="E287"/>
    </row>
    <row r="288" spans="1:5" ht="14.4" x14ac:dyDescent="0.3">
      <c r="A288"/>
      <c r="B288"/>
      <c r="C288"/>
      <c r="D288"/>
      <c r="E288"/>
    </row>
    <row r="289" spans="1:5" ht="14.4" x14ac:dyDescent="0.3">
      <c r="A289"/>
      <c r="B289"/>
      <c r="C289"/>
      <c r="D289"/>
      <c r="E289"/>
    </row>
    <row r="290" spans="1:5" ht="14.4" x14ac:dyDescent="0.3">
      <c r="A290"/>
      <c r="B290"/>
      <c r="C290"/>
      <c r="D290"/>
      <c r="E290"/>
    </row>
    <row r="291" spans="1:5" ht="14.4" x14ac:dyDescent="0.3">
      <c r="A291"/>
      <c r="B291"/>
      <c r="C291"/>
      <c r="D291"/>
      <c r="E291"/>
    </row>
    <row r="292" spans="1:5" ht="14.4" x14ac:dyDescent="0.3">
      <c r="A292"/>
      <c r="B292"/>
      <c r="C292"/>
      <c r="D292"/>
      <c r="E292"/>
    </row>
    <row r="293" spans="1:5" ht="14.4" x14ac:dyDescent="0.3">
      <c r="A293"/>
      <c r="B293"/>
      <c r="C293"/>
      <c r="D293"/>
      <c r="E293"/>
    </row>
    <row r="294" spans="1:5" ht="15" thickBot="1" x14ac:dyDescent="0.35">
      <c r="A294"/>
      <c r="B294"/>
      <c r="C294"/>
      <c r="D294"/>
      <c r="E294"/>
    </row>
    <row r="295" spans="1:5" ht="15" thickTop="1" x14ac:dyDescent="0.3">
      <c r="A295"/>
      <c r="B295"/>
      <c r="C295"/>
      <c r="D295"/>
      <c r="E295"/>
    </row>
    <row r="296" spans="1:5" ht="14.4" x14ac:dyDescent="0.3">
      <c r="A296"/>
      <c r="B296"/>
      <c r="C296"/>
      <c r="D296"/>
      <c r="E296"/>
    </row>
    <row r="297" spans="1:5" ht="15" thickBot="1" x14ac:dyDescent="0.35">
      <c r="A297"/>
      <c r="B297"/>
      <c r="C297"/>
      <c r="D297"/>
      <c r="E297"/>
    </row>
    <row r="298" spans="1:5" ht="15" thickTop="1" x14ac:dyDescent="0.3">
      <c r="A298"/>
      <c r="B298"/>
      <c r="C298"/>
      <c r="D298"/>
      <c r="E298"/>
    </row>
    <row r="299" spans="1:5" ht="14.4" x14ac:dyDescent="0.3">
      <c r="A299"/>
      <c r="B299"/>
      <c r="C299"/>
      <c r="D299"/>
      <c r="E299"/>
    </row>
    <row r="300" spans="1:5" ht="14.4" x14ac:dyDescent="0.3">
      <c r="A300"/>
      <c r="B300"/>
      <c r="C300"/>
      <c r="D300"/>
      <c r="E300"/>
    </row>
    <row r="301" spans="1:5" ht="14.4" x14ac:dyDescent="0.3">
      <c r="A301"/>
      <c r="B301"/>
      <c r="C301"/>
      <c r="D301"/>
      <c r="E301"/>
    </row>
    <row r="302" spans="1:5" ht="14.4" x14ac:dyDescent="0.3">
      <c r="A302"/>
      <c r="B302"/>
      <c r="C302"/>
      <c r="D302"/>
      <c r="E302"/>
    </row>
    <row r="303" spans="1:5" ht="14.4" x14ac:dyDescent="0.3">
      <c r="A303"/>
      <c r="B303"/>
      <c r="C303"/>
      <c r="D303"/>
      <c r="E303"/>
    </row>
    <row r="304" spans="1:5" ht="14.4" x14ac:dyDescent="0.3">
      <c r="A304"/>
      <c r="B304"/>
      <c r="C304"/>
      <c r="D304"/>
      <c r="E304"/>
    </row>
    <row r="305" spans="1:5" ht="14.4" x14ac:dyDescent="0.3">
      <c r="A305"/>
      <c r="B305"/>
      <c r="C305"/>
      <c r="D305"/>
      <c r="E305"/>
    </row>
    <row r="306" spans="1:5" ht="14.4" x14ac:dyDescent="0.3">
      <c r="A306"/>
      <c r="B306"/>
      <c r="C306"/>
      <c r="D306"/>
      <c r="E306"/>
    </row>
    <row r="307" spans="1:5" ht="14.4" x14ac:dyDescent="0.3">
      <c r="A307"/>
      <c r="B307"/>
      <c r="C307"/>
      <c r="D307"/>
      <c r="E307"/>
    </row>
    <row r="308" spans="1:5" ht="14.4" x14ac:dyDescent="0.3">
      <c r="A308"/>
      <c r="B308"/>
      <c r="C308"/>
      <c r="D308"/>
      <c r="E308"/>
    </row>
    <row r="309" spans="1:5" ht="14.4" x14ac:dyDescent="0.3">
      <c r="A309"/>
      <c r="B309"/>
      <c r="C309"/>
      <c r="D309"/>
      <c r="E309"/>
    </row>
    <row r="310" spans="1:5" ht="14.4" x14ac:dyDescent="0.3">
      <c r="A310"/>
      <c r="B310"/>
      <c r="C310"/>
      <c r="D310"/>
      <c r="E310"/>
    </row>
    <row r="311" spans="1:5" ht="14.4" x14ac:dyDescent="0.3">
      <c r="A311"/>
      <c r="B311"/>
      <c r="C311"/>
      <c r="D311"/>
      <c r="E311"/>
    </row>
    <row r="312" spans="1:5" ht="15" thickBot="1" x14ac:dyDescent="0.35">
      <c r="A312"/>
      <c r="B312"/>
      <c r="C312"/>
      <c r="D312"/>
      <c r="E312"/>
    </row>
    <row r="313" spans="1:5" ht="15" thickTop="1" x14ac:dyDescent="0.3">
      <c r="A313"/>
      <c r="B313"/>
      <c r="C313"/>
      <c r="D313"/>
      <c r="E313"/>
    </row>
    <row r="314" spans="1:5" ht="14.4" x14ac:dyDescent="0.3">
      <c r="A314"/>
      <c r="B314"/>
      <c r="C314"/>
      <c r="D314"/>
      <c r="E314"/>
    </row>
    <row r="315" spans="1:5" ht="15" thickBot="1" x14ac:dyDescent="0.35">
      <c r="A315"/>
      <c r="B315"/>
      <c r="C315"/>
      <c r="D315"/>
      <c r="E315"/>
    </row>
    <row r="316" spans="1:5" ht="15" thickTop="1" x14ac:dyDescent="0.3">
      <c r="A316"/>
      <c r="B316"/>
      <c r="C316"/>
      <c r="D316"/>
      <c r="E316"/>
    </row>
    <row r="317" spans="1:5" ht="14.4" x14ac:dyDescent="0.3">
      <c r="A317"/>
      <c r="B317"/>
      <c r="C317"/>
      <c r="D317"/>
      <c r="E317"/>
    </row>
    <row r="318" spans="1:5" ht="14.4" x14ac:dyDescent="0.3">
      <c r="A318"/>
      <c r="B318"/>
      <c r="C318"/>
      <c r="D318"/>
      <c r="E318"/>
    </row>
    <row r="319" spans="1:5" ht="15" thickBot="1" x14ac:dyDescent="0.35">
      <c r="A319"/>
      <c r="B319"/>
      <c r="C319"/>
      <c r="D319"/>
      <c r="E319"/>
    </row>
    <row r="320" spans="1:5" ht="15" thickTop="1" x14ac:dyDescent="0.3">
      <c r="A320"/>
      <c r="B320"/>
      <c r="C320"/>
      <c r="D320"/>
      <c r="E320"/>
    </row>
    <row r="321" spans="1:5" ht="14.4" x14ac:dyDescent="0.3">
      <c r="A321"/>
      <c r="B321"/>
      <c r="C321"/>
      <c r="D321"/>
      <c r="E321"/>
    </row>
    <row r="322" spans="1:5" ht="15" thickBot="1" x14ac:dyDescent="0.35">
      <c r="A322"/>
      <c r="B322"/>
      <c r="C322"/>
      <c r="D322"/>
      <c r="E322"/>
    </row>
    <row r="323" spans="1:5" ht="15" thickTop="1" x14ac:dyDescent="0.3">
      <c r="A323"/>
      <c r="B323"/>
      <c r="C323"/>
      <c r="D323"/>
      <c r="E323"/>
    </row>
    <row r="324" spans="1:5" ht="15" thickBot="1" x14ac:dyDescent="0.35">
      <c r="A324"/>
      <c r="B324"/>
      <c r="C324"/>
      <c r="D324"/>
      <c r="E324"/>
    </row>
    <row r="325" spans="1:5" ht="13.8" thickTop="1" x14ac:dyDescent="0.25"/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C00000"/>
    <pageSetUpPr fitToPage="1"/>
  </sheetPr>
  <dimension ref="A1:I568"/>
  <sheetViews>
    <sheetView showGridLines="0" zoomScale="85" zoomScaleNormal="85" workbookViewId="0">
      <pane xSplit="1" ySplit="13" topLeftCell="B14" activePane="bottomRight" state="frozen"/>
      <selection activeCell="B15" sqref="B15"/>
      <selection pane="topRight" activeCell="B15" sqref="B15"/>
      <selection pane="bottomLeft" activeCell="B15" sqref="B15"/>
      <selection pane="bottomRight" activeCell="B14" sqref="B14"/>
    </sheetView>
  </sheetViews>
  <sheetFormatPr defaultColWidth="11.33203125" defaultRowHeight="13.2" x14ac:dyDescent="0.25"/>
  <cols>
    <col min="1" max="1" width="43.109375" style="45" customWidth="1"/>
    <col min="2" max="2" width="19.109375" style="45" customWidth="1"/>
    <col min="3" max="3" width="11.109375" style="45" customWidth="1"/>
    <col min="4" max="4" width="10.21875" style="45" customWidth="1"/>
    <col min="5" max="5" width="10.5546875" style="45" customWidth="1"/>
    <col min="6" max="6" width="7.21875" style="45" customWidth="1"/>
    <col min="7" max="16384" width="11.33203125" style="45"/>
  </cols>
  <sheetData>
    <row r="1" spans="1:9" ht="21" x14ac:dyDescent="0.4">
      <c r="A1" s="44"/>
    </row>
    <row r="2" spans="1:9" x14ac:dyDescent="0.25">
      <c r="A2" s="46"/>
    </row>
    <row r="3" spans="1:9" x14ac:dyDescent="0.25">
      <c r="A3" s="46">
        <f>Updated</f>
        <v>0</v>
      </c>
    </row>
    <row r="4" spans="1:9" ht="14.4" x14ac:dyDescent="0.3">
      <c r="A4"/>
      <c r="B4"/>
    </row>
    <row r="5" spans="1:9" ht="14.4" x14ac:dyDescent="0.3">
      <c r="A5"/>
      <c r="B5"/>
    </row>
    <row r="6" spans="1:9" ht="14.4" x14ac:dyDescent="0.3">
      <c r="A6" s="47" t="s">
        <v>297</v>
      </c>
      <c r="B6" s="48" t="s">
        <v>132</v>
      </c>
    </row>
    <row r="7" spans="1:9" ht="14.4" x14ac:dyDescent="0.3">
      <c r="A7" s="47" t="s">
        <v>226</v>
      </c>
      <c r="B7" s="48" t="s">
        <v>132</v>
      </c>
    </row>
    <row r="8" spans="1:9" ht="14.4" x14ac:dyDescent="0.3">
      <c r="A8" s="47" t="s">
        <v>272</v>
      </c>
      <c r="B8" s="48" t="s">
        <v>132</v>
      </c>
    </row>
    <row r="9" spans="1:9" ht="14.4" x14ac:dyDescent="0.3">
      <c r="A9" s="47" t="s">
        <v>280</v>
      </c>
      <c r="B9" s="48" t="s">
        <v>132</v>
      </c>
    </row>
    <row r="10" spans="1:9" ht="14.4" x14ac:dyDescent="0.3">
      <c r="A10" s="47" t="s">
        <v>328</v>
      </c>
      <c r="B10" s="48" t="s">
        <v>132</v>
      </c>
    </row>
    <row r="11" spans="1:9" ht="14.4" x14ac:dyDescent="0.3">
      <c r="A11" s="47" t="s">
        <v>324</v>
      </c>
      <c r="B11" s="48" t="s">
        <v>132</v>
      </c>
    </row>
    <row r="12" spans="1:9" x14ac:dyDescent="0.25">
      <c r="A12" s="46"/>
    </row>
    <row r="13" spans="1:9" ht="14.4" x14ac:dyDescent="0.3">
      <c r="A13" s="1" t="s">
        <v>264</v>
      </c>
      <c r="B13" s="50" t="s">
        <v>281</v>
      </c>
      <c r="C13" s="50" t="s">
        <v>342</v>
      </c>
      <c r="D13" s="52" t="s">
        <v>350</v>
      </c>
      <c r="E13" s="59" t="s">
        <v>351</v>
      </c>
      <c r="F13" s="57" t="s">
        <v>352</v>
      </c>
      <c r="G13"/>
      <c r="H13"/>
      <c r="I13"/>
    </row>
    <row r="14" spans="1:9" ht="14.4" x14ac:dyDescent="0.3">
      <c r="A14" s="54" t="s">
        <v>339</v>
      </c>
      <c r="B14" s="61" t="s">
        <v>338</v>
      </c>
      <c r="C14" s="49" t="s">
        <v>253</v>
      </c>
      <c r="D14" s="74">
        <v>1.31</v>
      </c>
      <c r="E14" s="66">
        <v>0</v>
      </c>
      <c r="F14" s="69">
        <v>0</v>
      </c>
      <c r="G14"/>
      <c r="H14"/>
      <c r="I14"/>
    </row>
    <row r="15" spans="1:9" ht="14.4" x14ac:dyDescent="0.3">
      <c r="A15" s="55"/>
      <c r="B15" s="56"/>
      <c r="C15" s="56"/>
      <c r="D15" s="76"/>
      <c r="E15" s="68"/>
      <c r="F15" s="71"/>
      <c r="G15"/>
      <c r="H15"/>
      <c r="I15"/>
    </row>
    <row r="16" spans="1:9" ht="15" thickBot="1" x14ac:dyDescent="0.35">
      <c r="A16" s="51" t="s">
        <v>131</v>
      </c>
      <c r="B16" s="12"/>
      <c r="C16" s="12"/>
      <c r="D16" s="67">
        <v>1.31</v>
      </c>
      <c r="E16" s="67">
        <v>0</v>
      </c>
      <c r="F16" s="70">
        <v>0</v>
      </c>
      <c r="G16"/>
      <c r="H16"/>
      <c r="I16"/>
    </row>
    <row r="17" spans="1:7" ht="15" thickTop="1" x14ac:dyDescent="0.3">
      <c r="A17"/>
      <c r="B17"/>
      <c r="C17"/>
      <c r="D17"/>
      <c r="E17"/>
      <c r="F17"/>
      <c r="G17"/>
    </row>
    <row r="18" spans="1:7" ht="14.4" x14ac:dyDescent="0.3">
      <c r="A18"/>
      <c r="B18"/>
      <c r="C18"/>
      <c r="D18"/>
      <c r="E18"/>
      <c r="F18"/>
      <c r="G18"/>
    </row>
    <row r="19" spans="1:7" ht="14.4" x14ac:dyDescent="0.3">
      <c r="A19"/>
      <c r="B19"/>
      <c r="C19"/>
      <c r="D19"/>
      <c r="E19"/>
      <c r="F19"/>
      <c r="G19"/>
    </row>
    <row r="20" spans="1:7" ht="14.4" x14ac:dyDescent="0.3">
      <c r="A20"/>
      <c r="B20"/>
      <c r="C20"/>
      <c r="D20"/>
      <c r="E20"/>
      <c r="F20"/>
      <c r="G20"/>
    </row>
    <row r="21" spans="1:7" ht="14.4" x14ac:dyDescent="0.3">
      <c r="A21"/>
      <c r="B21"/>
      <c r="C21"/>
      <c r="D21"/>
      <c r="E21"/>
      <c r="F21"/>
      <c r="G21"/>
    </row>
    <row r="22" spans="1:7" ht="14.4" x14ac:dyDescent="0.3">
      <c r="A22"/>
      <c r="B22"/>
      <c r="C22"/>
      <c r="D22"/>
      <c r="E22"/>
      <c r="F22"/>
      <c r="G22"/>
    </row>
    <row r="23" spans="1:7" ht="14.4" x14ac:dyDescent="0.3">
      <c r="A23"/>
      <c r="B23"/>
      <c r="C23"/>
      <c r="D23"/>
      <c r="E23"/>
      <c r="F23"/>
      <c r="G23"/>
    </row>
    <row r="24" spans="1:7" ht="14.4" x14ac:dyDescent="0.3">
      <c r="A24"/>
      <c r="B24"/>
      <c r="C24"/>
      <c r="D24"/>
      <c r="E24"/>
      <c r="F24"/>
      <c r="G24"/>
    </row>
    <row r="25" spans="1:7" ht="14.4" x14ac:dyDescent="0.3">
      <c r="A25"/>
      <c r="B25"/>
      <c r="C25"/>
      <c r="D25"/>
      <c r="E25"/>
      <c r="F25"/>
      <c r="G25"/>
    </row>
    <row r="26" spans="1:7" ht="14.4" x14ac:dyDescent="0.3">
      <c r="A26"/>
      <c r="B26"/>
      <c r="C26"/>
      <c r="D26"/>
      <c r="E26"/>
      <c r="F26"/>
      <c r="G26"/>
    </row>
    <row r="27" spans="1:7" ht="14.4" x14ac:dyDescent="0.3">
      <c r="A27"/>
      <c r="B27"/>
      <c r="C27"/>
      <c r="D27"/>
      <c r="E27"/>
      <c r="F27"/>
    </row>
    <row r="28" spans="1:7" ht="14.4" x14ac:dyDescent="0.3">
      <c r="A28"/>
      <c r="B28"/>
      <c r="C28"/>
      <c r="D28"/>
      <c r="E28"/>
      <c r="F28"/>
    </row>
    <row r="29" spans="1:7" ht="14.4" x14ac:dyDescent="0.3">
      <c r="A29"/>
      <c r="B29"/>
      <c r="C29"/>
      <c r="D29"/>
      <c r="E29"/>
      <c r="F29"/>
    </row>
    <row r="30" spans="1:7" ht="14.4" x14ac:dyDescent="0.3">
      <c r="A30"/>
      <c r="B30"/>
      <c r="C30"/>
      <c r="D30"/>
      <c r="E30"/>
      <c r="F30"/>
    </row>
    <row r="31" spans="1:7" ht="14.4" x14ac:dyDescent="0.3">
      <c r="A31"/>
      <c r="B31"/>
      <c r="C31"/>
      <c r="D31"/>
      <c r="E31"/>
      <c r="F31"/>
    </row>
    <row r="32" spans="1:7" ht="14.4" x14ac:dyDescent="0.3">
      <c r="A32"/>
      <c r="B32"/>
      <c r="C32"/>
      <c r="D32"/>
      <c r="E32"/>
      <c r="F32"/>
    </row>
    <row r="33" spans="1:6" ht="14.4" x14ac:dyDescent="0.3">
      <c r="A33"/>
      <c r="B33"/>
      <c r="C33"/>
      <c r="D33"/>
      <c r="E33"/>
      <c r="F33"/>
    </row>
    <row r="34" spans="1:6" ht="14.4" x14ac:dyDescent="0.3">
      <c r="A34"/>
      <c r="B34"/>
      <c r="C34"/>
      <c r="D34"/>
      <c r="E34"/>
      <c r="F34"/>
    </row>
    <row r="35" spans="1:6" ht="14.4" x14ac:dyDescent="0.3">
      <c r="A35"/>
      <c r="B35"/>
      <c r="C35"/>
      <c r="D35"/>
      <c r="E35"/>
      <c r="F35"/>
    </row>
    <row r="36" spans="1:6" ht="14.4" x14ac:dyDescent="0.3">
      <c r="A36"/>
      <c r="B36"/>
      <c r="C36"/>
      <c r="D36"/>
      <c r="E36"/>
      <c r="F36"/>
    </row>
    <row r="37" spans="1:6" ht="14.4" x14ac:dyDescent="0.3">
      <c r="A37"/>
      <c r="B37"/>
      <c r="C37"/>
      <c r="D37"/>
      <c r="E37"/>
      <c r="F37"/>
    </row>
    <row r="38" spans="1:6" ht="14.4" x14ac:dyDescent="0.3">
      <c r="A38"/>
      <c r="B38"/>
      <c r="C38"/>
      <c r="D38"/>
      <c r="E38"/>
      <c r="F38"/>
    </row>
    <row r="39" spans="1:6" ht="14.4" x14ac:dyDescent="0.3">
      <c r="A39"/>
      <c r="B39"/>
      <c r="C39"/>
      <c r="D39"/>
      <c r="E39"/>
      <c r="F39"/>
    </row>
    <row r="40" spans="1:6" ht="14.4" x14ac:dyDescent="0.3">
      <c r="A40"/>
      <c r="B40"/>
      <c r="C40"/>
      <c r="D40"/>
      <c r="E40"/>
      <c r="F40"/>
    </row>
    <row r="41" spans="1:6" ht="14.4" x14ac:dyDescent="0.3">
      <c r="A41"/>
      <c r="B41"/>
      <c r="C41"/>
      <c r="D41"/>
      <c r="E41"/>
      <c r="F41"/>
    </row>
    <row r="42" spans="1:6" ht="14.4" x14ac:dyDescent="0.3">
      <c r="A42"/>
      <c r="B42"/>
      <c r="C42"/>
      <c r="D42"/>
      <c r="E42"/>
      <c r="F42"/>
    </row>
    <row r="43" spans="1:6" ht="14.4" x14ac:dyDescent="0.3">
      <c r="A43"/>
      <c r="B43"/>
      <c r="C43"/>
      <c r="D43"/>
      <c r="E43"/>
      <c r="F43"/>
    </row>
    <row r="44" spans="1:6" ht="14.4" x14ac:dyDescent="0.3">
      <c r="A44"/>
      <c r="B44"/>
      <c r="C44"/>
      <c r="D44"/>
      <c r="E44"/>
      <c r="F44"/>
    </row>
    <row r="45" spans="1:6" ht="14.4" x14ac:dyDescent="0.3">
      <c r="A45"/>
      <c r="B45"/>
      <c r="C45"/>
      <c r="D45"/>
      <c r="E45"/>
      <c r="F45"/>
    </row>
    <row r="46" spans="1:6" ht="14.4" x14ac:dyDescent="0.3">
      <c r="A46"/>
      <c r="B46"/>
      <c r="C46"/>
      <c r="D46"/>
      <c r="E46"/>
      <c r="F46"/>
    </row>
    <row r="47" spans="1:6" ht="14.4" x14ac:dyDescent="0.3">
      <c r="A47"/>
      <c r="B47"/>
      <c r="C47"/>
      <c r="D47"/>
      <c r="E47"/>
      <c r="F47"/>
    </row>
    <row r="48" spans="1:6" ht="14.4" x14ac:dyDescent="0.3">
      <c r="A48"/>
      <c r="B48"/>
      <c r="C48"/>
      <c r="D48"/>
      <c r="E48"/>
      <c r="F48"/>
    </row>
    <row r="49" spans="1:6" ht="14.4" x14ac:dyDescent="0.3">
      <c r="A49"/>
      <c r="B49"/>
      <c r="C49"/>
      <c r="D49"/>
      <c r="E49"/>
      <c r="F49"/>
    </row>
    <row r="50" spans="1:6" ht="14.4" x14ac:dyDescent="0.3">
      <c r="A50"/>
      <c r="B50"/>
      <c r="C50"/>
      <c r="D50"/>
      <c r="E50"/>
      <c r="F50"/>
    </row>
    <row r="51" spans="1:6" ht="14.4" x14ac:dyDescent="0.3">
      <c r="A51"/>
      <c r="B51"/>
      <c r="C51"/>
      <c r="D51"/>
      <c r="E51"/>
      <c r="F51"/>
    </row>
    <row r="52" spans="1:6" ht="14.4" x14ac:dyDescent="0.3">
      <c r="A52"/>
      <c r="B52"/>
      <c r="C52"/>
      <c r="D52"/>
      <c r="E52"/>
      <c r="F52"/>
    </row>
    <row r="53" spans="1:6" ht="14.4" x14ac:dyDescent="0.3">
      <c r="A53"/>
      <c r="B53"/>
      <c r="C53"/>
      <c r="D53"/>
      <c r="E53"/>
      <c r="F53"/>
    </row>
    <row r="54" spans="1:6" ht="14.4" x14ac:dyDescent="0.3">
      <c r="A54"/>
      <c r="B54"/>
      <c r="C54"/>
      <c r="D54"/>
      <c r="E54"/>
      <c r="F54"/>
    </row>
    <row r="55" spans="1:6" ht="14.4" x14ac:dyDescent="0.3">
      <c r="A55"/>
      <c r="B55"/>
      <c r="C55"/>
      <c r="D55"/>
      <c r="E55"/>
      <c r="F55"/>
    </row>
    <row r="56" spans="1:6" ht="14.4" x14ac:dyDescent="0.3">
      <c r="A56"/>
      <c r="B56"/>
      <c r="C56"/>
      <c r="D56"/>
      <c r="E56"/>
      <c r="F56"/>
    </row>
    <row r="57" spans="1:6" ht="14.4" x14ac:dyDescent="0.3">
      <c r="A57"/>
      <c r="B57"/>
      <c r="C57"/>
      <c r="D57"/>
      <c r="E57"/>
      <c r="F57"/>
    </row>
    <row r="58" spans="1:6" ht="14.4" x14ac:dyDescent="0.3">
      <c r="A58"/>
      <c r="B58"/>
      <c r="C58"/>
      <c r="D58"/>
      <c r="E58"/>
      <c r="F58"/>
    </row>
    <row r="59" spans="1:6" ht="14.4" x14ac:dyDescent="0.3">
      <c r="A59"/>
      <c r="B59"/>
      <c r="C59"/>
      <c r="D59"/>
      <c r="E59"/>
      <c r="F59"/>
    </row>
    <row r="60" spans="1:6" ht="14.4" x14ac:dyDescent="0.3">
      <c r="A60"/>
      <c r="B60"/>
      <c r="C60"/>
      <c r="D60"/>
      <c r="E60"/>
      <c r="F60"/>
    </row>
    <row r="61" spans="1:6" ht="14.4" x14ac:dyDescent="0.3">
      <c r="A61"/>
      <c r="B61"/>
      <c r="C61"/>
      <c r="D61"/>
      <c r="E61"/>
      <c r="F61"/>
    </row>
    <row r="62" spans="1:6" ht="14.4" x14ac:dyDescent="0.3">
      <c r="A62"/>
      <c r="B62"/>
      <c r="C62"/>
      <c r="D62"/>
      <c r="E62"/>
      <c r="F62"/>
    </row>
    <row r="63" spans="1:6" ht="14.4" x14ac:dyDescent="0.3">
      <c r="A63"/>
      <c r="B63"/>
      <c r="C63"/>
      <c r="D63"/>
      <c r="E63"/>
      <c r="F63"/>
    </row>
    <row r="64" spans="1:6" ht="14.4" x14ac:dyDescent="0.3">
      <c r="A64"/>
      <c r="B64"/>
      <c r="C64"/>
      <c r="D64"/>
      <c r="E64"/>
      <c r="F64"/>
    </row>
    <row r="65" spans="1:6" ht="14.4" x14ac:dyDescent="0.3">
      <c r="A65"/>
      <c r="B65"/>
      <c r="C65"/>
      <c r="D65"/>
      <c r="E65"/>
      <c r="F65"/>
    </row>
    <row r="66" spans="1:6" ht="14.4" x14ac:dyDescent="0.3">
      <c r="A66"/>
      <c r="B66"/>
      <c r="C66"/>
      <c r="D66"/>
      <c r="E66"/>
      <c r="F66"/>
    </row>
    <row r="67" spans="1:6" ht="14.4" x14ac:dyDescent="0.3">
      <c r="A67"/>
      <c r="B67"/>
      <c r="C67"/>
      <c r="D67"/>
      <c r="E67"/>
      <c r="F67"/>
    </row>
    <row r="68" spans="1:6" ht="14.4" x14ac:dyDescent="0.3">
      <c r="A68"/>
      <c r="B68"/>
      <c r="C68"/>
      <c r="D68"/>
      <c r="E68"/>
      <c r="F68"/>
    </row>
    <row r="69" spans="1:6" ht="14.4" x14ac:dyDescent="0.3">
      <c r="A69"/>
      <c r="B69"/>
      <c r="C69"/>
      <c r="D69"/>
      <c r="E69"/>
      <c r="F69"/>
    </row>
    <row r="70" spans="1:6" ht="14.4" x14ac:dyDescent="0.3">
      <c r="A70"/>
      <c r="B70"/>
      <c r="C70"/>
      <c r="D70"/>
      <c r="E70"/>
      <c r="F70"/>
    </row>
    <row r="71" spans="1:6" ht="14.4" x14ac:dyDescent="0.3">
      <c r="A71"/>
      <c r="B71"/>
      <c r="C71"/>
      <c r="D71"/>
      <c r="E71"/>
      <c r="F71"/>
    </row>
    <row r="72" spans="1:6" ht="14.4" x14ac:dyDescent="0.3">
      <c r="A72"/>
      <c r="B72"/>
      <c r="C72"/>
      <c r="D72"/>
      <c r="E72"/>
      <c r="F72"/>
    </row>
    <row r="73" spans="1:6" ht="14.4" x14ac:dyDescent="0.3">
      <c r="A73"/>
      <c r="B73"/>
      <c r="C73"/>
      <c r="D73"/>
      <c r="E73"/>
      <c r="F73"/>
    </row>
    <row r="74" spans="1:6" ht="14.4" x14ac:dyDescent="0.3">
      <c r="A74"/>
      <c r="B74"/>
      <c r="C74"/>
      <c r="D74"/>
      <c r="E74"/>
      <c r="F74"/>
    </row>
    <row r="75" spans="1:6" ht="14.4" x14ac:dyDescent="0.3">
      <c r="A75"/>
      <c r="B75"/>
      <c r="C75"/>
      <c r="D75"/>
      <c r="E75"/>
      <c r="F75"/>
    </row>
    <row r="76" spans="1:6" ht="14.4" x14ac:dyDescent="0.3">
      <c r="A76"/>
      <c r="B76"/>
      <c r="C76"/>
      <c r="D76"/>
      <c r="E76"/>
      <c r="F76"/>
    </row>
    <row r="77" spans="1:6" ht="14.4" x14ac:dyDescent="0.3">
      <c r="A77"/>
      <c r="B77"/>
      <c r="C77"/>
      <c r="D77"/>
      <c r="E77"/>
      <c r="F77"/>
    </row>
    <row r="78" spans="1:6" ht="14.4" x14ac:dyDescent="0.3">
      <c r="A78"/>
      <c r="B78"/>
      <c r="C78"/>
      <c r="D78"/>
      <c r="E78"/>
      <c r="F78"/>
    </row>
    <row r="79" spans="1:6" ht="14.4" x14ac:dyDescent="0.3">
      <c r="A79"/>
      <c r="B79"/>
      <c r="C79"/>
      <c r="D79"/>
      <c r="E79"/>
      <c r="F79"/>
    </row>
    <row r="80" spans="1:6" ht="14.4" x14ac:dyDescent="0.3">
      <c r="A80"/>
      <c r="B80"/>
      <c r="C80"/>
      <c r="D80"/>
      <c r="E80"/>
      <c r="F80"/>
    </row>
    <row r="81" spans="1:6" ht="14.4" x14ac:dyDescent="0.3">
      <c r="A81"/>
      <c r="B81"/>
      <c r="C81"/>
      <c r="D81"/>
      <c r="E81"/>
      <c r="F81"/>
    </row>
    <row r="82" spans="1:6" ht="14.4" x14ac:dyDescent="0.3">
      <c r="A82"/>
      <c r="B82"/>
      <c r="C82"/>
      <c r="D82"/>
      <c r="E82"/>
      <c r="F82"/>
    </row>
    <row r="83" spans="1:6" ht="14.4" x14ac:dyDescent="0.3">
      <c r="A83"/>
      <c r="B83"/>
      <c r="C83"/>
      <c r="D83"/>
      <c r="E83"/>
      <c r="F83"/>
    </row>
    <row r="84" spans="1:6" ht="14.4" x14ac:dyDescent="0.3">
      <c r="A84"/>
      <c r="B84"/>
      <c r="C84"/>
      <c r="D84"/>
      <c r="E84"/>
      <c r="F84"/>
    </row>
    <row r="85" spans="1:6" ht="14.4" x14ac:dyDescent="0.3">
      <c r="A85"/>
      <c r="B85"/>
      <c r="C85"/>
      <c r="D85"/>
      <c r="E85"/>
      <c r="F85"/>
    </row>
    <row r="86" spans="1:6" ht="14.4" x14ac:dyDescent="0.3">
      <c r="A86"/>
      <c r="B86"/>
      <c r="C86"/>
      <c r="D86"/>
      <c r="E86"/>
      <c r="F86"/>
    </row>
    <row r="87" spans="1:6" ht="14.4" x14ac:dyDescent="0.3">
      <c r="A87"/>
      <c r="B87"/>
      <c r="C87"/>
      <c r="D87"/>
      <c r="E87"/>
      <c r="F87"/>
    </row>
    <row r="88" spans="1:6" ht="14.4" x14ac:dyDescent="0.3">
      <c r="A88"/>
      <c r="B88"/>
      <c r="C88"/>
      <c r="D88"/>
      <c r="E88"/>
      <c r="F88"/>
    </row>
    <row r="89" spans="1:6" ht="14.4" x14ac:dyDescent="0.3">
      <c r="A89"/>
      <c r="B89"/>
      <c r="C89"/>
      <c r="D89"/>
      <c r="E89"/>
      <c r="F89"/>
    </row>
    <row r="90" spans="1:6" ht="14.4" x14ac:dyDescent="0.3">
      <c r="A90"/>
      <c r="B90"/>
      <c r="C90"/>
      <c r="D90"/>
      <c r="E90"/>
      <c r="F90"/>
    </row>
    <row r="91" spans="1:6" ht="14.4" x14ac:dyDescent="0.3">
      <c r="A91"/>
      <c r="B91"/>
      <c r="C91"/>
      <c r="D91"/>
      <c r="E91"/>
      <c r="F91"/>
    </row>
    <row r="92" spans="1:6" ht="14.4" x14ac:dyDescent="0.3">
      <c r="A92"/>
      <c r="B92"/>
      <c r="C92"/>
      <c r="D92"/>
      <c r="E92"/>
      <c r="F92"/>
    </row>
    <row r="93" spans="1:6" ht="14.4" x14ac:dyDescent="0.3">
      <c r="A93"/>
      <c r="B93"/>
      <c r="C93"/>
      <c r="D93"/>
      <c r="E93"/>
      <c r="F93"/>
    </row>
    <row r="94" spans="1:6" ht="14.4" x14ac:dyDescent="0.3">
      <c r="A94"/>
      <c r="B94"/>
      <c r="C94"/>
      <c r="D94"/>
      <c r="E94"/>
      <c r="F94"/>
    </row>
    <row r="95" spans="1:6" ht="14.4" x14ac:dyDescent="0.3">
      <c r="A95"/>
      <c r="B95"/>
      <c r="C95"/>
      <c r="D95"/>
      <c r="E95"/>
      <c r="F95"/>
    </row>
    <row r="96" spans="1:6" ht="14.4" x14ac:dyDescent="0.3">
      <c r="A96"/>
      <c r="B96"/>
      <c r="C96"/>
      <c r="D96"/>
      <c r="E96"/>
      <c r="F96"/>
    </row>
    <row r="97" spans="1:6" ht="14.4" x14ac:dyDescent="0.3">
      <c r="A97"/>
      <c r="B97"/>
      <c r="C97"/>
      <c r="D97"/>
      <c r="E97"/>
      <c r="F97"/>
    </row>
    <row r="98" spans="1:6" ht="14.4" x14ac:dyDescent="0.3">
      <c r="A98"/>
      <c r="B98"/>
      <c r="C98"/>
      <c r="D98"/>
      <c r="E98"/>
      <c r="F98"/>
    </row>
    <row r="99" spans="1:6" ht="14.4" x14ac:dyDescent="0.3">
      <c r="A99"/>
      <c r="B99"/>
      <c r="C99"/>
      <c r="D99"/>
      <c r="E99"/>
      <c r="F99"/>
    </row>
    <row r="100" spans="1:6" ht="14.4" x14ac:dyDescent="0.3">
      <c r="A100"/>
      <c r="B100"/>
      <c r="C100"/>
      <c r="D100"/>
      <c r="E100"/>
      <c r="F100"/>
    </row>
    <row r="101" spans="1:6" ht="14.4" x14ac:dyDescent="0.3">
      <c r="A101"/>
      <c r="B101"/>
      <c r="C101"/>
      <c r="D101"/>
      <c r="E101"/>
      <c r="F101"/>
    </row>
    <row r="102" spans="1:6" ht="14.4" x14ac:dyDescent="0.3">
      <c r="A102"/>
      <c r="B102"/>
      <c r="C102"/>
      <c r="D102"/>
      <c r="E102"/>
      <c r="F102"/>
    </row>
    <row r="103" spans="1:6" ht="14.4" x14ac:dyDescent="0.3">
      <c r="A103"/>
      <c r="B103"/>
      <c r="C103"/>
      <c r="D103"/>
      <c r="E103"/>
      <c r="F103"/>
    </row>
    <row r="104" spans="1:6" ht="14.4" x14ac:dyDescent="0.3">
      <c r="A104"/>
      <c r="B104"/>
      <c r="C104"/>
      <c r="D104"/>
      <c r="E104"/>
      <c r="F104"/>
    </row>
    <row r="105" spans="1:6" ht="14.4" x14ac:dyDescent="0.3">
      <c r="A105"/>
      <c r="B105"/>
      <c r="C105"/>
      <c r="D105"/>
      <c r="E105"/>
      <c r="F105"/>
    </row>
    <row r="106" spans="1:6" ht="14.4" x14ac:dyDescent="0.3">
      <c r="A106"/>
      <c r="B106"/>
      <c r="C106"/>
      <c r="D106"/>
      <c r="E106"/>
      <c r="F106"/>
    </row>
    <row r="107" spans="1:6" ht="14.4" x14ac:dyDescent="0.3">
      <c r="A107"/>
      <c r="B107"/>
      <c r="C107"/>
      <c r="D107"/>
      <c r="E107"/>
      <c r="F107"/>
    </row>
    <row r="108" spans="1:6" ht="14.4" x14ac:dyDescent="0.3">
      <c r="A108"/>
      <c r="B108"/>
      <c r="C108"/>
      <c r="D108"/>
      <c r="E108"/>
      <c r="F108"/>
    </row>
    <row r="109" spans="1:6" ht="14.4" x14ac:dyDescent="0.3">
      <c r="A109"/>
      <c r="B109"/>
      <c r="C109"/>
      <c r="D109"/>
      <c r="E109"/>
      <c r="F109"/>
    </row>
    <row r="110" spans="1:6" ht="14.4" x14ac:dyDescent="0.3">
      <c r="A110"/>
      <c r="B110"/>
      <c r="C110"/>
      <c r="D110"/>
      <c r="E110"/>
      <c r="F110"/>
    </row>
    <row r="111" spans="1:6" ht="14.4" x14ac:dyDescent="0.3">
      <c r="A111"/>
      <c r="B111"/>
      <c r="C111"/>
      <c r="D111"/>
      <c r="E111"/>
      <c r="F111"/>
    </row>
    <row r="112" spans="1:6" ht="14.4" x14ac:dyDescent="0.3">
      <c r="A112"/>
      <c r="B112"/>
      <c r="C112"/>
      <c r="D112"/>
      <c r="E112"/>
      <c r="F112"/>
    </row>
    <row r="113" spans="1:6" ht="14.4" x14ac:dyDescent="0.3">
      <c r="A113"/>
      <c r="B113"/>
      <c r="C113"/>
      <c r="D113"/>
      <c r="E113"/>
      <c r="F113"/>
    </row>
    <row r="114" spans="1:6" ht="14.4" x14ac:dyDescent="0.3">
      <c r="A114"/>
      <c r="B114"/>
      <c r="C114"/>
      <c r="D114"/>
      <c r="E114"/>
      <c r="F114"/>
    </row>
    <row r="115" spans="1:6" ht="14.4" x14ac:dyDescent="0.3">
      <c r="A115"/>
      <c r="B115"/>
      <c r="C115"/>
      <c r="D115"/>
      <c r="E115"/>
      <c r="F115"/>
    </row>
    <row r="116" spans="1:6" ht="14.4" x14ac:dyDescent="0.3">
      <c r="A116"/>
      <c r="B116"/>
      <c r="C116"/>
      <c r="D116"/>
      <c r="E116"/>
      <c r="F116"/>
    </row>
    <row r="117" spans="1:6" ht="14.4" x14ac:dyDescent="0.3">
      <c r="A117"/>
      <c r="B117"/>
      <c r="C117"/>
      <c r="D117"/>
      <c r="E117"/>
      <c r="F117"/>
    </row>
    <row r="118" spans="1:6" ht="14.4" x14ac:dyDescent="0.3">
      <c r="A118"/>
      <c r="B118"/>
      <c r="C118"/>
      <c r="D118"/>
      <c r="E118"/>
      <c r="F118"/>
    </row>
    <row r="119" spans="1:6" ht="14.4" x14ac:dyDescent="0.3">
      <c r="A119"/>
      <c r="B119"/>
      <c r="C119"/>
      <c r="D119"/>
      <c r="E119"/>
      <c r="F119"/>
    </row>
    <row r="120" spans="1:6" ht="14.4" x14ac:dyDescent="0.3">
      <c r="A120"/>
      <c r="B120"/>
      <c r="C120"/>
      <c r="D120"/>
      <c r="E120"/>
      <c r="F120"/>
    </row>
    <row r="121" spans="1:6" ht="14.4" x14ac:dyDescent="0.3">
      <c r="A121"/>
      <c r="B121"/>
      <c r="C121"/>
      <c r="D121"/>
      <c r="E121"/>
      <c r="F121"/>
    </row>
    <row r="122" spans="1:6" ht="14.4" x14ac:dyDescent="0.3">
      <c r="A122"/>
      <c r="B122"/>
      <c r="C122"/>
      <c r="D122"/>
      <c r="E122"/>
      <c r="F122"/>
    </row>
    <row r="123" spans="1:6" ht="14.4" x14ac:dyDescent="0.3">
      <c r="A123"/>
      <c r="B123"/>
      <c r="C123"/>
      <c r="D123"/>
      <c r="E123"/>
      <c r="F123"/>
    </row>
    <row r="124" spans="1:6" ht="14.4" x14ac:dyDescent="0.3">
      <c r="A124"/>
      <c r="B124"/>
      <c r="C124"/>
      <c r="D124"/>
      <c r="E124"/>
      <c r="F124"/>
    </row>
    <row r="125" spans="1:6" ht="14.4" x14ac:dyDescent="0.3">
      <c r="A125"/>
      <c r="B125"/>
      <c r="C125"/>
      <c r="D125"/>
      <c r="E125"/>
      <c r="F125"/>
    </row>
    <row r="126" spans="1:6" ht="14.4" x14ac:dyDescent="0.3">
      <c r="A126"/>
      <c r="B126"/>
      <c r="C126"/>
      <c r="D126"/>
      <c r="E126"/>
      <c r="F126"/>
    </row>
    <row r="127" spans="1:6" ht="14.4" x14ac:dyDescent="0.3">
      <c r="A127"/>
      <c r="B127"/>
      <c r="C127"/>
      <c r="D127"/>
      <c r="E127"/>
      <c r="F127"/>
    </row>
    <row r="128" spans="1:6" ht="14.4" x14ac:dyDescent="0.3">
      <c r="A128"/>
      <c r="B128"/>
      <c r="C128"/>
      <c r="D128"/>
      <c r="E128"/>
      <c r="F128"/>
    </row>
    <row r="129" spans="1:6" ht="14.4" x14ac:dyDescent="0.3">
      <c r="A129"/>
      <c r="B129"/>
      <c r="C129"/>
      <c r="D129"/>
      <c r="E129"/>
      <c r="F129"/>
    </row>
    <row r="130" spans="1:6" ht="14.4" x14ac:dyDescent="0.3">
      <c r="A130"/>
      <c r="B130"/>
      <c r="C130"/>
      <c r="D130"/>
      <c r="E130"/>
      <c r="F130"/>
    </row>
    <row r="131" spans="1:6" ht="14.4" x14ac:dyDescent="0.3">
      <c r="A131"/>
      <c r="B131"/>
      <c r="C131"/>
      <c r="D131"/>
      <c r="E131"/>
      <c r="F131"/>
    </row>
    <row r="132" spans="1:6" ht="14.4" x14ac:dyDescent="0.3">
      <c r="A132"/>
      <c r="B132"/>
      <c r="C132"/>
      <c r="D132"/>
      <c r="E132"/>
      <c r="F132"/>
    </row>
    <row r="133" spans="1:6" ht="14.4" x14ac:dyDescent="0.3">
      <c r="A133"/>
      <c r="B133"/>
      <c r="C133"/>
      <c r="D133"/>
      <c r="E133"/>
      <c r="F133"/>
    </row>
    <row r="134" spans="1:6" ht="14.4" x14ac:dyDescent="0.3">
      <c r="A134"/>
      <c r="B134"/>
      <c r="C134"/>
      <c r="D134"/>
      <c r="E134"/>
      <c r="F134"/>
    </row>
    <row r="135" spans="1:6" ht="14.4" x14ac:dyDescent="0.3">
      <c r="A135"/>
      <c r="B135"/>
      <c r="C135"/>
      <c r="D135"/>
      <c r="E135"/>
      <c r="F135"/>
    </row>
    <row r="136" spans="1:6" ht="14.4" x14ac:dyDescent="0.3">
      <c r="A136"/>
      <c r="B136"/>
      <c r="C136"/>
      <c r="D136"/>
      <c r="E136"/>
      <c r="F136"/>
    </row>
    <row r="137" spans="1:6" ht="14.4" x14ac:dyDescent="0.3">
      <c r="A137"/>
      <c r="B137"/>
      <c r="C137"/>
      <c r="D137"/>
      <c r="E137"/>
      <c r="F137"/>
    </row>
    <row r="138" spans="1:6" ht="14.4" x14ac:dyDescent="0.3">
      <c r="A138"/>
      <c r="B138"/>
      <c r="C138"/>
      <c r="D138"/>
      <c r="E138"/>
      <c r="F138"/>
    </row>
    <row r="139" spans="1:6" ht="14.4" x14ac:dyDescent="0.3">
      <c r="A139"/>
      <c r="B139"/>
      <c r="C139"/>
      <c r="D139"/>
      <c r="E139"/>
      <c r="F139"/>
    </row>
    <row r="140" spans="1:6" ht="14.4" x14ac:dyDescent="0.3">
      <c r="A140"/>
      <c r="B140"/>
      <c r="C140"/>
      <c r="D140"/>
      <c r="E140"/>
      <c r="F140"/>
    </row>
    <row r="141" spans="1:6" ht="14.4" x14ac:dyDescent="0.3">
      <c r="A141"/>
      <c r="B141"/>
      <c r="C141"/>
      <c r="D141"/>
      <c r="E141"/>
      <c r="F141"/>
    </row>
    <row r="142" spans="1:6" ht="14.4" x14ac:dyDescent="0.3">
      <c r="A142"/>
      <c r="B142"/>
      <c r="C142"/>
      <c r="D142"/>
      <c r="E142"/>
      <c r="F142"/>
    </row>
    <row r="143" spans="1:6" ht="14.4" x14ac:dyDescent="0.3">
      <c r="A143"/>
      <c r="B143"/>
      <c r="C143"/>
      <c r="D143"/>
      <c r="E143"/>
      <c r="F143"/>
    </row>
    <row r="144" spans="1:6" ht="14.4" x14ac:dyDescent="0.3">
      <c r="A144"/>
      <c r="B144"/>
      <c r="C144"/>
      <c r="D144"/>
      <c r="E144"/>
      <c r="F144"/>
    </row>
    <row r="145" spans="1:6" ht="14.4" x14ac:dyDescent="0.3">
      <c r="A145"/>
      <c r="B145"/>
      <c r="C145"/>
      <c r="D145"/>
      <c r="E145"/>
      <c r="F145"/>
    </row>
    <row r="146" spans="1:6" ht="14.4" x14ac:dyDescent="0.3">
      <c r="A146"/>
      <c r="B146"/>
      <c r="C146"/>
      <c r="D146"/>
      <c r="E146"/>
      <c r="F146"/>
    </row>
    <row r="147" spans="1:6" ht="14.4" x14ac:dyDescent="0.3">
      <c r="A147"/>
      <c r="B147"/>
      <c r="C147"/>
      <c r="D147"/>
      <c r="E147"/>
      <c r="F147"/>
    </row>
    <row r="148" spans="1:6" ht="14.4" x14ac:dyDescent="0.3">
      <c r="A148"/>
      <c r="B148"/>
      <c r="C148"/>
      <c r="D148"/>
      <c r="E148"/>
      <c r="F148"/>
    </row>
    <row r="149" spans="1:6" ht="14.4" x14ac:dyDescent="0.3">
      <c r="A149"/>
      <c r="B149"/>
      <c r="C149"/>
      <c r="D149"/>
      <c r="E149"/>
      <c r="F149"/>
    </row>
    <row r="150" spans="1:6" ht="14.4" x14ac:dyDescent="0.3">
      <c r="A150"/>
      <c r="B150"/>
      <c r="C150"/>
      <c r="D150"/>
      <c r="E150"/>
      <c r="F150"/>
    </row>
    <row r="151" spans="1:6" ht="14.4" x14ac:dyDescent="0.3">
      <c r="A151"/>
      <c r="B151"/>
      <c r="C151"/>
      <c r="D151"/>
      <c r="E151"/>
      <c r="F151"/>
    </row>
    <row r="152" spans="1:6" ht="14.4" x14ac:dyDescent="0.3">
      <c r="A152"/>
      <c r="B152"/>
      <c r="C152"/>
      <c r="D152"/>
      <c r="E152"/>
      <c r="F152"/>
    </row>
    <row r="153" spans="1:6" ht="14.4" x14ac:dyDescent="0.3">
      <c r="A153"/>
      <c r="B153"/>
      <c r="C153"/>
      <c r="D153"/>
      <c r="E153"/>
      <c r="F153"/>
    </row>
    <row r="154" spans="1:6" ht="14.4" x14ac:dyDescent="0.3">
      <c r="A154"/>
      <c r="B154"/>
      <c r="C154"/>
      <c r="D154"/>
      <c r="E154"/>
      <c r="F154"/>
    </row>
    <row r="155" spans="1:6" ht="14.4" x14ac:dyDescent="0.3">
      <c r="A155"/>
      <c r="B155"/>
      <c r="C155"/>
      <c r="D155"/>
      <c r="E155"/>
      <c r="F155"/>
    </row>
    <row r="156" spans="1:6" ht="14.4" x14ac:dyDescent="0.3">
      <c r="A156"/>
      <c r="B156"/>
      <c r="C156"/>
      <c r="D156"/>
      <c r="E156"/>
      <c r="F156"/>
    </row>
    <row r="157" spans="1:6" ht="14.4" x14ac:dyDescent="0.3">
      <c r="A157"/>
      <c r="B157"/>
      <c r="C157"/>
      <c r="D157"/>
      <c r="E157"/>
      <c r="F157"/>
    </row>
    <row r="158" spans="1:6" ht="14.4" x14ac:dyDescent="0.3">
      <c r="A158"/>
      <c r="B158"/>
      <c r="C158"/>
      <c r="D158"/>
      <c r="E158"/>
      <c r="F158"/>
    </row>
    <row r="159" spans="1:6" ht="14.4" x14ac:dyDescent="0.3">
      <c r="A159"/>
      <c r="B159"/>
      <c r="C159"/>
      <c r="D159"/>
      <c r="E159"/>
      <c r="F159"/>
    </row>
    <row r="160" spans="1:6" ht="14.4" x14ac:dyDescent="0.3">
      <c r="A160"/>
      <c r="B160"/>
      <c r="C160"/>
      <c r="D160"/>
      <c r="E160"/>
      <c r="F160"/>
    </row>
    <row r="161" spans="1:6" ht="14.4" x14ac:dyDescent="0.3">
      <c r="A161"/>
      <c r="B161"/>
      <c r="C161"/>
      <c r="D161"/>
      <c r="E161"/>
      <c r="F161"/>
    </row>
    <row r="162" spans="1:6" ht="14.4" x14ac:dyDescent="0.3">
      <c r="A162"/>
      <c r="B162"/>
      <c r="C162"/>
      <c r="D162"/>
      <c r="E162"/>
      <c r="F162"/>
    </row>
    <row r="163" spans="1:6" ht="14.4" x14ac:dyDescent="0.3">
      <c r="A163"/>
      <c r="B163"/>
      <c r="C163"/>
      <c r="D163"/>
      <c r="E163"/>
      <c r="F163"/>
    </row>
    <row r="164" spans="1:6" ht="14.4" x14ac:dyDescent="0.3">
      <c r="A164"/>
      <c r="B164"/>
      <c r="C164"/>
      <c r="D164"/>
      <c r="E164"/>
      <c r="F164"/>
    </row>
    <row r="165" spans="1:6" ht="14.4" x14ac:dyDescent="0.3">
      <c r="A165"/>
      <c r="B165"/>
      <c r="C165"/>
      <c r="D165"/>
      <c r="E165"/>
      <c r="F165"/>
    </row>
    <row r="166" spans="1:6" ht="14.4" x14ac:dyDescent="0.3">
      <c r="A166"/>
      <c r="B166"/>
      <c r="C166"/>
      <c r="D166"/>
      <c r="E166"/>
      <c r="F166"/>
    </row>
    <row r="167" spans="1:6" ht="14.4" x14ac:dyDescent="0.3">
      <c r="A167"/>
      <c r="B167"/>
      <c r="C167"/>
      <c r="D167"/>
      <c r="E167"/>
      <c r="F167"/>
    </row>
    <row r="168" spans="1:6" ht="14.4" x14ac:dyDescent="0.3">
      <c r="A168"/>
      <c r="B168"/>
      <c r="C168"/>
      <c r="D168"/>
      <c r="E168"/>
      <c r="F168"/>
    </row>
    <row r="169" spans="1:6" ht="14.4" x14ac:dyDescent="0.3">
      <c r="A169"/>
      <c r="B169"/>
      <c r="C169"/>
      <c r="D169"/>
      <c r="E169"/>
      <c r="F169"/>
    </row>
    <row r="170" spans="1:6" ht="14.4" x14ac:dyDescent="0.3">
      <c r="A170"/>
      <c r="B170"/>
      <c r="C170"/>
      <c r="D170"/>
      <c r="E170"/>
      <c r="F170"/>
    </row>
    <row r="171" spans="1:6" ht="14.4" x14ac:dyDescent="0.3">
      <c r="A171"/>
      <c r="B171"/>
      <c r="C171"/>
      <c r="D171"/>
      <c r="E171"/>
      <c r="F171"/>
    </row>
    <row r="172" spans="1:6" ht="14.4" x14ac:dyDescent="0.3">
      <c r="A172"/>
      <c r="B172"/>
      <c r="C172"/>
      <c r="D172"/>
      <c r="E172"/>
      <c r="F172"/>
    </row>
    <row r="173" spans="1:6" ht="14.4" x14ac:dyDescent="0.3">
      <c r="A173"/>
      <c r="B173"/>
      <c r="C173"/>
      <c r="D173"/>
      <c r="E173"/>
      <c r="F173"/>
    </row>
    <row r="174" spans="1:6" ht="14.4" x14ac:dyDescent="0.3">
      <c r="A174"/>
      <c r="B174"/>
      <c r="C174"/>
      <c r="D174"/>
      <c r="E174"/>
      <c r="F174"/>
    </row>
    <row r="175" spans="1:6" ht="14.4" x14ac:dyDescent="0.3">
      <c r="A175"/>
      <c r="B175"/>
      <c r="C175"/>
      <c r="D175"/>
      <c r="E175"/>
      <c r="F175"/>
    </row>
    <row r="176" spans="1:6" ht="14.4" x14ac:dyDescent="0.3">
      <c r="A176"/>
      <c r="B176"/>
      <c r="C176"/>
      <c r="D176"/>
      <c r="E176"/>
      <c r="F176"/>
    </row>
    <row r="177" spans="1:6" ht="14.4" x14ac:dyDescent="0.3">
      <c r="A177"/>
      <c r="B177"/>
      <c r="C177"/>
      <c r="D177"/>
      <c r="E177"/>
      <c r="F177"/>
    </row>
    <row r="178" spans="1:6" ht="14.4" x14ac:dyDescent="0.3">
      <c r="A178"/>
      <c r="B178"/>
      <c r="C178"/>
      <c r="D178"/>
      <c r="E178"/>
      <c r="F178"/>
    </row>
    <row r="179" spans="1:6" ht="14.4" x14ac:dyDescent="0.3">
      <c r="A179"/>
      <c r="B179"/>
      <c r="C179"/>
      <c r="D179"/>
      <c r="E179"/>
      <c r="F179"/>
    </row>
    <row r="180" spans="1:6" ht="14.4" x14ac:dyDescent="0.3">
      <c r="A180"/>
      <c r="B180"/>
      <c r="C180"/>
      <c r="D180"/>
      <c r="E180"/>
      <c r="F180"/>
    </row>
    <row r="181" spans="1:6" ht="14.4" x14ac:dyDescent="0.3">
      <c r="A181"/>
      <c r="B181"/>
      <c r="C181"/>
      <c r="D181"/>
      <c r="E181"/>
      <c r="F181"/>
    </row>
    <row r="182" spans="1:6" ht="14.4" x14ac:dyDescent="0.3">
      <c r="A182"/>
      <c r="B182"/>
      <c r="C182"/>
      <c r="D182"/>
      <c r="E182"/>
      <c r="F182"/>
    </row>
    <row r="183" spans="1:6" ht="14.4" x14ac:dyDescent="0.3">
      <c r="A183"/>
      <c r="B183"/>
      <c r="C183"/>
      <c r="D183"/>
      <c r="E183"/>
      <c r="F183"/>
    </row>
    <row r="184" spans="1:6" ht="14.4" x14ac:dyDescent="0.3">
      <c r="A184"/>
      <c r="B184"/>
      <c r="C184"/>
      <c r="D184"/>
      <c r="E184"/>
      <c r="F184"/>
    </row>
    <row r="185" spans="1:6" ht="14.4" x14ac:dyDescent="0.3">
      <c r="A185"/>
      <c r="B185"/>
      <c r="C185"/>
      <c r="D185"/>
      <c r="E185"/>
      <c r="F185"/>
    </row>
    <row r="186" spans="1:6" ht="14.4" x14ac:dyDescent="0.3">
      <c r="A186"/>
      <c r="B186"/>
      <c r="C186"/>
      <c r="D186"/>
      <c r="E186"/>
      <c r="F186"/>
    </row>
    <row r="187" spans="1:6" ht="14.4" x14ac:dyDescent="0.3">
      <c r="A187"/>
      <c r="B187"/>
      <c r="C187"/>
      <c r="D187"/>
      <c r="E187"/>
      <c r="F187"/>
    </row>
    <row r="188" spans="1:6" ht="14.4" x14ac:dyDescent="0.3">
      <c r="A188"/>
      <c r="B188"/>
      <c r="C188"/>
      <c r="D188"/>
      <c r="E188"/>
      <c r="F188"/>
    </row>
    <row r="189" spans="1:6" ht="14.4" x14ac:dyDescent="0.3">
      <c r="A189"/>
      <c r="B189"/>
      <c r="C189"/>
      <c r="D189"/>
      <c r="E189"/>
      <c r="F189"/>
    </row>
    <row r="190" spans="1:6" ht="14.4" x14ac:dyDescent="0.3">
      <c r="A190"/>
      <c r="B190"/>
      <c r="C190"/>
      <c r="D190"/>
      <c r="E190"/>
      <c r="F190"/>
    </row>
    <row r="191" spans="1:6" ht="14.4" x14ac:dyDescent="0.3">
      <c r="A191"/>
      <c r="B191"/>
      <c r="C191"/>
      <c r="D191"/>
      <c r="E191"/>
      <c r="F191"/>
    </row>
    <row r="192" spans="1:6" ht="14.4" x14ac:dyDescent="0.3">
      <c r="A192"/>
      <c r="B192"/>
      <c r="C192"/>
      <c r="D192"/>
      <c r="E192"/>
      <c r="F192"/>
    </row>
    <row r="193" spans="1:6" ht="14.4" x14ac:dyDescent="0.3">
      <c r="A193"/>
      <c r="B193"/>
      <c r="C193"/>
      <c r="D193"/>
      <c r="E193"/>
      <c r="F193"/>
    </row>
    <row r="194" spans="1:6" ht="14.4" x14ac:dyDescent="0.3">
      <c r="A194"/>
      <c r="B194"/>
      <c r="C194"/>
      <c r="D194"/>
      <c r="E194"/>
      <c r="F194"/>
    </row>
    <row r="195" spans="1:6" ht="14.4" x14ac:dyDescent="0.3">
      <c r="A195"/>
      <c r="B195"/>
      <c r="C195"/>
      <c r="D195"/>
      <c r="E195"/>
      <c r="F195"/>
    </row>
    <row r="196" spans="1:6" ht="14.4" x14ac:dyDescent="0.3">
      <c r="A196"/>
      <c r="B196"/>
      <c r="C196"/>
      <c r="D196"/>
      <c r="E196"/>
      <c r="F196"/>
    </row>
    <row r="197" spans="1:6" ht="14.4" x14ac:dyDescent="0.3">
      <c r="A197"/>
      <c r="B197"/>
      <c r="C197"/>
      <c r="D197"/>
      <c r="E197"/>
      <c r="F197"/>
    </row>
    <row r="198" spans="1:6" ht="14.4" x14ac:dyDescent="0.3">
      <c r="A198"/>
      <c r="B198"/>
      <c r="C198"/>
      <c r="D198"/>
      <c r="E198"/>
      <c r="F198"/>
    </row>
    <row r="199" spans="1:6" ht="14.4" x14ac:dyDescent="0.3">
      <c r="A199"/>
      <c r="B199"/>
      <c r="C199"/>
      <c r="D199"/>
      <c r="E199"/>
      <c r="F199"/>
    </row>
    <row r="200" spans="1:6" ht="14.4" x14ac:dyDescent="0.3">
      <c r="A200"/>
      <c r="B200"/>
      <c r="C200"/>
      <c r="D200"/>
      <c r="E200"/>
      <c r="F200"/>
    </row>
    <row r="201" spans="1:6" ht="14.4" x14ac:dyDescent="0.3">
      <c r="A201"/>
      <c r="B201"/>
      <c r="C201"/>
      <c r="D201"/>
      <c r="E201"/>
      <c r="F201"/>
    </row>
    <row r="202" spans="1:6" ht="14.4" x14ac:dyDescent="0.3">
      <c r="A202"/>
      <c r="B202"/>
      <c r="C202"/>
      <c r="D202"/>
      <c r="E202"/>
      <c r="F202"/>
    </row>
    <row r="203" spans="1:6" ht="14.4" x14ac:dyDescent="0.3">
      <c r="A203"/>
      <c r="B203"/>
      <c r="C203"/>
      <c r="D203"/>
      <c r="E203"/>
      <c r="F203"/>
    </row>
    <row r="204" spans="1:6" ht="14.4" x14ac:dyDescent="0.3">
      <c r="A204"/>
      <c r="B204"/>
      <c r="C204"/>
      <c r="D204"/>
      <c r="E204"/>
      <c r="F204"/>
    </row>
    <row r="205" spans="1:6" ht="14.4" x14ac:dyDescent="0.3">
      <c r="A205"/>
      <c r="B205"/>
      <c r="C205"/>
      <c r="D205"/>
      <c r="E205"/>
      <c r="F205"/>
    </row>
    <row r="206" spans="1:6" ht="14.4" x14ac:dyDescent="0.3">
      <c r="A206"/>
      <c r="B206"/>
      <c r="C206"/>
      <c r="D206"/>
      <c r="E206"/>
      <c r="F206"/>
    </row>
    <row r="207" spans="1:6" ht="14.4" x14ac:dyDescent="0.3">
      <c r="A207"/>
      <c r="B207"/>
      <c r="C207"/>
      <c r="D207"/>
      <c r="E207"/>
      <c r="F207"/>
    </row>
    <row r="208" spans="1:6" ht="14.4" x14ac:dyDescent="0.3">
      <c r="A208"/>
      <c r="B208"/>
      <c r="C208"/>
      <c r="D208"/>
      <c r="E208"/>
      <c r="F208"/>
    </row>
    <row r="209" spans="1:6" ht="14.4" x14ac:dyDescent="0.3">
      <c r="A209"/>
      <c r="B209"/>
      <c r="C209"/>
      <c r="D209"/>
      <c r="E209"/>
      <c r="F209"/>
    </row>
    <row r="210" spans="1:6" ht="14.4" x14ac:dyDescent="0.3">
      <c r="A210"/>
      <c r="B210"/>
      <c r="C210"/>
      <c r="D210"/>
      <c r="E210"/>
      <c r="F210"/>
    </row>
    <row r="211" spans="1:6" ht="14.4" x14ac:dyDescent="0.3">
      <c r="A211"/>
      <c r="B211"/>
      <c r="C211"/>
      <c r="D211"/>
      <c r="E211"/>
      <c r="F211"/>
    </row>
    <row r="212" spans="1:6" ht="14.4" x14ac:dyDescent="0.3">
      <c r="A212"/>
      <c r="B212"/>
      <c r="C212"/>
      <c r="D212"/>
      <c r="E212"/>
      <c r="F212"/>
    </row>
    <row r="213" spans="1:6" ht="14.4" x14ac:dyDescent="0.3">
      <c r="A213"/>
      <c r="B213"/>
      <c r="C213"/>
      <c r="D213"/>
      <c r="E213"/>
      <c r="F213"/>
    </row>
    <row r="214" spans="1:6" ht="14.4" x14ac:dyDescent="0.3">
      <c r="A214"/>
      <c r="B214"/>
      <c r="C214"/>
      <c r="D214"/>
      <c r="E214"/>
      <c r="F214"/>
    </row>
    <row r="215" spans="1:6" ht="14.4" x14ac:dyDescent="0.3">
      <c r="A215"/>
      <c r="B215"/>
      <c r="C215"/>
      <c r="D215"/>
      <c r="E215"/>
      <c r="F215"/>
    </row>
    <row r="216" spans="1:6" ht="14.4" x14ac:dyDescent="0.3">
      <c r="A216"/>
      <c r="B216"/>
      <c r="C216"/>
      <c r="D216"/>
      <c r="E216"/>
      <c r="F216"/>
    </row>
    <row r="217" spans="1:6" ht="14.4" x14ac:dyDescent="0.3">
      <c r="A217"/>
      <c r="B217"/>
      <c r="C217"/>
      <c r="D217"/>
      <c r="E217"/>
      <c r="F217"/>
    </row>
    <row r="218" spans="1:6" ht="14.4" x14ac:dyDescent="0.3">
      <c r="A218"/>
      <c r="B218"/>
      <c r="C218"/>
      <c r="D218"/>
      <c r="E218"/>
      <c r="F218"/>
    </row>
    <row r="219" spans="1:6" ht="14.4" x14ac:dyDescent="0.3">
      <c r="A219"/>
      <c r="B219"/>
      <c r="C219"/>
      <c r="D219"/>
      <c r="E219"/>
      <c r="F219"/>
    </row>
    <row r="220" spans="1:6" ht="14.4" x14ac:dyDescent="0.3">
      <c r="A220"/>
      <c r="B220"/>
      <c r="C220"/>
      <c r="D220"/>
      <c r="E220"/>
      <c r="F220"/>
    </row>
    <row r="221" spans="1:6" ht="14.4" x14ac:dyDescent="0.3">
      <c r="A221"/>
      <c r="B221"/>
      <c r="C221"/>
      <c r="D221"/>
      <c r="E221"/>
      <c r="F221"/>
    </row>
    <row r="222" spans="1:6" ht="14.4" x14ac:dyDescent="0.3">
      <c r="A222"/>
      <c r="B222"/>
      <c r="C222"/>
      <c r="D222"/>
      <c r="E222"/>
      <c r="F222"/>
    </row>
    <row r="223" spans="1:6" ht="14.4" x14ac:dyDescent="0.3">
      <c r="A223"/>
      <c r="B223"/>
      <c r="C223"/>
      <c r="D223"/>
      <c r="E223"/>
      <c r="F223"/>
    </row>
    <row r="224" spans="1:6" ht="14.4" x14ac:dyDescent="0.3">
      <c r="A224"/>
      <c r="B224"/>
      <c r="C224"/>
      <c r="D224"/>
      <c r="E224"/>
      <c r="F224"/>
    </row>
    <row r="225" spans="1:6" ht="14.4" x14ac:dyDescent="0.3">
      <c r="A225"/>
      <c r="B225"/>
      <c r="C225"/>
      <c r="D225"/>
      <c r="E225"/>
      <c r="F225"/>
    </row>
    <row r="226" spans="1:6" ht="14.4" x14ac:dyDescent="0.3">
      <c r="A226"/>
      <c r="B226"/>
      <c r="C226"/>
      <c r="D226"/>
      <c r="E226"/>
      <c r="F226"/>
    </row>
    <row r="227" spans="1:6" ht="14.4" x14ac:dyDescent="0.3">
      <c r="A227"/>
      <c r="B227"/>
      <c r="C227"/>
      <c r="D227"/>
      <c r="E227"/>
      <c r="F227"/>
    </row>
    <row r="228" spans="1:6" ht="14.4" x14ac:dyDescent="0.3">
      <c r="A228"/>
      <c r="B228"/>
      <c r="C228"/>
      <c r="D228"/>
      <c r="E228"/>
      <c r="F228"/>
    </row>
    <row r="229" spans="1:6" ht="14.4" x14ac:dyDescent="0.3">
      <c r="A229"/>
      <c r="B229"/>
      <c r="C229"/>
      <c r="D229"/>
      <c r="E229"/>
      <c r="F229"/>
    </row>
    <row r="230" spans="1:6" ht="14.4" x14ac:dyDescent="0.3">
      <c r="A230"/>
      <c r="B230"/>
      <c r="C230"/>
      <c r="D230"/>
      <c r="E230"/>
      <c r="F230"/>
    </row>
    <row r="231" spans="1:6" ht="14.4" x14ac:dyDescent="0.3">
      <c r="A231"/>
      <c r="B231"/>
      <c r="C231"/>
      <c r="D231"/>
      <c r="E231"/>
      <c r="F231"/>
    </row>
    <row r="232" spans="1:6" ht="14.4" x14ac:dyDescent="0.3">
      <c r="A232"/>
      <c r="B232"/>
      <c r="C232"/>
      <c r="D232"/>
      <c r="E232"/>
      <c r="F232"/>
    </row>
    <row r="233" spans="1:6" ht="14.4" x14ac:dyDescent="0.3">
      <c r="A233"/>
      <c r="B233"/>
      <c r="C233"/>
      <c r="D233"/>
      <c r="E233"/>
      <c r="F233"/>
    </row>
    <row r="234" spans="1:6" ht="14.4" x14ac:dyDescent="0.3">
      <c r="A234"/>
      <c r="B234"/>
      <c r="C234"/>
      <c r="D234"/>
      <c r="E234"/>
      <c r="F234"/>
    </row>
    <row r="235" spans="1:6" ht="14.4" x14ac:dyDescent="0.3">
      <c r="A235"/>
      <c r="B235"/>
      <c r="C235"/>
      <c r="D235"/>
      <c r="E235"/>
      <c r="F235"/>
    </row>
    <row r="236" spans="1:6" ht="14.4" x14ac:dyDescent="0.3">
      <c r="A236"/>
      <c r="B236"/>
      <c r="C236"/>
      <c r="D236"/>
      <c r="E236"/>
      <c r="F236"/>
    </row>
    <row r="237" spans="1:6" ht="14.4" x14ac:dyDescent="0.3">
      <c r="A237"/>
      <c r="B237"/>
      <c r="C237"/>
      <c r="D237"/>
      <c r="E237"/>
      <c r="F237"/>
    </row>
    <row r="238" spans="1:6" ht="14.4" x14ac:dyDescent="0.3">
      <c r="A238"/>
      <c r="B238"/>
      <c r="C238"/>
      <c r="D238"/>
      <c r="E238"/>
      <c r="F238"/>
    </row>
    <row r="239" spans="1:6" ht="14.4" x14ac:dyDescent="0.3">
      <c r="A239"/>
      <c r="B239"/>
      <c r="C239"/>
      <c r="D239"/>
      <c r="E239"/>
      <c r="F239"/>
    </row>
    <row r="240" spans="1:6" ht="14.4" x14ac:dyDescent="0.3">
      <c r="A240"/>
      <c r="B240"/>
      <c r="C240"/>
      <c r="D240"/>
      <c r="E240"/>
      <c r="F240"/>
    </row>
    <row r="241" spans="1:6" ht="14.4" x14ac:dyDescent="0.3">
      <c r="A241"/>
      <c r="B241"/>
      <c r="C241"/>
      <c r="D241"/>
      <c r="E241"/>
      <c r="F241"/>
    </row>
    <row r="242" spans="1:6" ht="14.4" x14ac:dyDescent="0.3">
      <c r="A242"/>
      <c r="B242"/>
      <c r="C242"/>
      <c r="D242"/>
      <c r="E242"/>
      <c r="F242"/>
    </row>
    <row r="243" spans="1:6" ht="14.4" x14ac:dyDescent="0.3">
      <c r="A243"/>
      <c r="B243"/>
      <c r="C243"/>
      <c r="D243"/>
      <c r="E243"/>
      <c r="F243"/>
    </row>
    <row r="244" spans="1:6" ht="14.4" x14ac:dyDescent="0.3">
      <c r="A244"/>
      <c r="B244"/>
      <c r="C244"/>
      <c r="D244"/>
      <c r="E244"/>
      <c r="F244"/>
    </row>
    <row r="245" spans="1:6" ht="14.4" x14ac:dyDescent="0.3">
      <c r="A245"/>
      <c r="B245"/>
      <c r="C245"/>
      <c r="D245"/>
      <c r="E245"/>
      <c r="F245"/>
    </row>
    <row r="246" spans="1:6" ht="14.4" x14ac:dyDescent="0.3">
      <c r="A246"/>
      <c r="B246"/>
      <c r="C246"/>
      <c r="D246"/>
      <c r="E246"/>
      <c r="F246"/>
    </row>
    <row r="247" spans="1:6" ht="14.4" x14ac:dyDescent="0.3">
      <c r="A247"/>
      <c r="B247"/>
      <c r="C247"/>
      <c r="D247"/>
      <c r="E247"/>
      <c r="F247"/>
    </row>
    <row r="248" spans="1:6" ht="14.4" x14ac:dyDescent="0.3">
      <c r="A248"/>
      <c r="B248"/>
      <c r="C248"/>
      <c r="D248"/>
      <c r="E248"/>
      <c r="F248"/>
    </row>
    <row r="249" spans="1:6" ht="14.4" x14ac:dyDescent="0.3">
      <c r="A249"/>
      <c r="B249"/>
      <c r="C249"/>
      <c r="D249"/>
      <c r="E249"/>
      <c r="F249"/>
    </row>
    <row r="250" spans="1:6" ht="14.4" x14ac:dyDescent="0.3">
      <c r="A250"/>
      <c r="B250"/>
      <c r="C250"/>
      <c r="D250"/>
      <c r="E250"/>
      <c r="F250"/>
    </row>
    <row r="251" spans="1:6" ht="14.4" x14ac:dyDescent="0.3">
      <c r="A251"/>
      <c r="B251"/>
      <c r="C251"/>
      <c r="D251"/>
      <c r="E251"/>
      <c r="F251"/>
    </row>
    <row r="252" spans="1:6" ht="14.4" x14ac:dyDescent="0.3">
      <c r="A252"/>
      <c r="B252"/>
      <c r="C252"/>
      <c r="D252"/>
      <c r="E252"/>
      <c r="F252"/>
    </row>
    <row r="253" spans="1:6" ht="14.4" x14ac:dyDescent="0.3">
      <c r="A253"/>
      <c r="B253"/>
      <c r="C253"/>
      <c r="D253"/>
      <c r="E253"/>
      <c r="F253"/>
    </row>
    <row r="254" spans="1:6" ht="14.4" x14ac:dyDescent="0.3">
      <c r="A254"/>
      <c r="B254"/>
      <c r="C254"/>
      <c r="D254"/>
      <c r="E254"/>
      <c r="F254"/>
    </row>
    <row r="255" spans="1:6" ht="14.4" x14ac:dyDescent="0.3">
      <c r="A255"/>
      <c r="B255"/>
      <c r="C255"/>
      <c r="D255"/>
      <c r="E255"/>
      <c r="F255"/>
    </row>
    <row r="256" spans="1:6" ht="14.4" x14ac:dyDescent="0.3">
      <c r="A256"/>
      <c r="B256"/>
      <c r="C256"/>
      <c r="D256"/>
      <c r="E256"/>
      <c r="F256"/>
    </row>
    <row r="257" spans="1:6" ht="14.4" x14ac:dyDescent="0.3">
      <c r="A257"/>
      <c r="B257"/>
      <c r="C257"/>
      <c r="D257"/>
      <c r="E257"/>
      <c r="F257"/>
    </row>
    <row r="258" spans="1:6" ht="14.4" x14ac:dyDescent="0.3">
      <c r="A258"/>
      <c r="B258"/>
      <c r="C258"/>
      <c r="D258"/>
      <c r="E258"/>
      <c r="F258"/>
    </row>
    <row r="259" spans="1:6" ht="14.4" x14ac:dyDescent="0.3">
      <c r="A259"/>
      <c r="B259"/>
      <c r="C259"/>
      <c r="D259"/>
      <c r="E259"/>
      <c r="F259"/>
    </row>
    <row r="260" spans="1:6" ht="14.4" x14ac:dyDescent="0.3">
      <c r="A260"/>
      <c r="B260"/>
      <c r="C260"/>
      <c r="D260"/>
      <c r="E260"/>
      <c r="F260"/>
    </row>
    <row r="261" spans="1:6" ht="14.4" x14ac:dyDescent="0.3">
      <c r="A261"/>
      <c r="B261"/>
      <c r="C261"/>
      <c r="D261"/>
      <c r="E261"/>
      <c r="F261"/>
    </row>
    <row r="262" spans="1:6" ht="14.4" x14ac:dyDescent="0.3">
      <c r="A262"/>
      <c r="B262"/>
      <c r="C262"/>
      <c r="D262"/>
      <c r="E262"/>
      <c r="F262"/>
    </row>
    <row r="263" spans="1:6" ht="14.4" x14ac:dyDescent="0.3">
      <c r="A263"/>
      <c r="B263"/>
      <c r="C263"/>
      <c r="D263"/>
      <c r="E263"/>
      <c r="F263"/>
    </row>
    <row r="264" spans="1:6" ht="14.4" x14ac:dyDescent="0.3">
      <c r="A264"/>
      <c r="B264"/>
      <c r="C264"/>
      <c r="D264"/>
      <c r="E264"/>
      <c r="F264"/>
    </row>
    <row r="265" spans="1:6" ht="14.4" x14ac:dyDescent="0.3">
      <c r="A265"/>
      <c r="B265"/>
      <c r="C265"/>
      <c r="D265"/>
      <c r="E265"/>
      <c r="F265"/>
    </row>
    <row r="266" spans="1:6" ht="14.4" x14ac:dyDescent="0.3">
      <c r="A266"/>
      <c r="B266"/>
      <c r="C266"/>
      <c r="D266"/>
      <c r="E266"/>
      <c r="F266"/>
    </row>
    <row r="267" spans="1:6" ht="14.4" x14ac:dyDescent="0.3">
      <c r="A267"/>
      <c r="B267"/>
      <c r="C267"/>
      <c r="D267"/>
      <c r="E267"/>
      <c r="F267"/>
    </row>
    <row r="268" spans="1:6" ht="14.4" x14ac:dyDescent="0.3">
      <c r="A268"/>
      <c r="B268"/>
      <c r="C268"/>
      <c r="D268"/>
      <c r="E268"/>
      <c r="F268"/>
    </row>
    <row r="269" spans="1:6" ht="14.4" x14ac:dyDescent="0.3">
      <c r="A269"/>
      <c r="B269"/>
      <c r="C269"/>
      <c r="D269"/>
      <c r="E269"/>
      <c r="F269"/>
    </row>
    <row r="270" spans="1:6" ht="14.4" x14ac:dyDescent="0.3">
      <c r="A270"/>
      <c r="B270"/>
      <c r="C270"/>
      <c r="D270"/>
      <c r="E270"/>
      <c r="F270"/>
    </row>
    <row r="271" spans="1:6" ht="14.4" x14ac:dyDescent="0.3">
      <c r="A271"/>
      <c r="B271"/>
      <c r="C271"/>
      <c r="D271"/>
      <c r="E271"/>
      <c r="F271"/>
    </row>
    <row r="272" spans="1:6" ht="14.4" x14ac:dyDescent="0.3">
      <c r="A272"/>
      <c r="B272"/>
      <c r="C272"/>
      <c r="D272"/>
      <c r="E272"/>
      <c r="F272"/>
    </row>
    <row r="273" spans="1:6" ht="14.4" x14ac:dyDescent="0.3">
      <c r="A273"/>
      <c r="B273"/>
      <c r="C273"/>
      <c r="D273"/>
      <c r="E273"/>
      <c r="F273"/>
    </row>
    <row r="274" spans="1:6" ht="14.4" x14ac:dyDescent="0.3">
      <c r="A274"/>
      <c r="B274"/>
      <c r="C274"/>
      <c r="D274"/>
      <c r="E274"/>
      <c r="F274"/>
    </row>
    <row r="275" spans="1:6" ht="14.4" x14ac:dyDescent="0.3">
      <c r="A275"/>
      <c r="B275"/>
      <c r="C275"/>
      <c r="D275"/>
      <c r="E275"/>
      <c r="F275"/>
    </row>
    <row r="276" spans="1:6" ht="14.4" x14ac:dyDescent="0.3">
      <c r="A276"/>
      <c r="B276"/>
      <c r="C276"/>
      <c r="D276"/>
      <c r="E276"/>
      <c r="F276"/>
    </row>
    <row r="277" spans="1:6" ht="14.4" x14ac:dyDescent="0.3">
      <c r="A277"/>
      <c r="B277"/>
      <c r="C277"/>
      <c r="D277"/>
      <c r="E277"/>
      <c r="F277"/>
    </row>
    <row r="278" spans="1:6" ht="14.4" x14ac:dyDescent="0.3">
      <c r="A278"/>
      <c r="B278"/>
      <c r="C278"/>
      <c r="D278"/>
      <c r="E278"/>
      <c r="F278"/>
    </row>
    <row r="279" spans="1:6" ht="14.4" x14ac:dyDescent="0.3">
      <c r="A279"/>
      <c r="B279"/>
      <c r="C279"/>
      <c r="D279"/>
      <c r="E279"/>
      <c r="F279"/>
    </row>
    <row r="280" spans="1:6" ht="14.4" x14ac:dyDescent="0.3">
      <c r="A280"/>
      <c r="B280"/>
      <c r="C280"/>
      <c r="D280"/>
      <c r="E280"/>
      <c r="F280"/>
    </row>
    <row r="281" spans="1:6" ht="14.4" x14ac:dyDescent="0.3">
      <c r="A281"/>
      <c r="B281"/>
      <c r="C281"/>
      <c r="D281"/>
      <c r="E281"/>
      <c r="F281"/>
    </row>
    <row r="282" spans="1:6" ht="14.4" x14ac:dyDescent="0.3">
      <c r="A282"/>
      <c r="B282"/>
      <c r="C282"/>
      <c r="D282"/>
      <c r="E282"/>
      <c r="F282"/>
    </row>
    <row r="283" spans="1:6" ht="14.4" x14ac:dyDescent="0.3">
      <c r="A283"/>
      <c r="B283"/>
      <c r="C283"/>
      <c r="D283"/>
      <c r="E283"/>
      <c r="F283"/>
    </row>
    <row r="284" spans="1:6" ht="14.4" x14ac:dyDescent="0.3">
      <c r="A284"/>
      <c r="B284"/>
      <c r="C284"/>
      <c r="D284"/>
      <c r="E284"/>
      <c r="F284"/>
    </row>
    <row r="285" spans="1:6" ht="14.4" x14ac:dyDescent="0.3">
      <c r="A285"/>
      <c r="B285"/>
      <c r="C285"/>
      <c r="D285"/>
      <c r="E285"/>
      <c r="F285"/>
    </row>
    <row r="286" spans="1:6" ht="14.4" x14ac:dyDescent="0.3">
      <c r="A286"/>
      <c r="B286"/>
      <c r="C286"/>
      <c r="D286"/>
      <c r="E286"/>
      <c r="F286"/>
    </row>
    <row r="287" spans="1:6" ht="14.4" x14ac:dyDescent="0.3">
      <c r="A287"/>
      <c r="B287"/>
      <c r="C287"/>
      <c r="D287"/>
      <c r="E287"/>
      <c r="F287"/>
    </row>
    <row r="288" spans="1:6" ht="14.4" x14ac:dyDescent="0.3">
      <c r="A288"/>
      <c r="B288"/>
      <c r="C288"/>
      <c r="D288"/>
      <c r="E288"/>
      <c r="F288"/>
    </row>
    <row r="289" spans="1:6" ht="14.4" x14ac:dyDescent="0.3">
      <c r="A289"/>
      <c r="B289"/>
      <c r="C289"/>
      <c r="D289"/>
      <c r="E289"/>
      <c r="F289"/>
    </row>
    <row r="290" spans="1:6" ht="14.4" x14ac:dyDescent="0.3">
      <c r="A290"/>
      <c r="B290"/>
      <c r="C290"/>
      <c r="D290"/>
      <c r="E290"/>
      <c r="F290"/>
    </row>
    <row r="291" spans="1:6" ht="14.4" x14ac:dyDescent="0.3">
      <c r="A291"/>
      <c r="B291"/>
      <c r="C291"/>
      <c r="D291"/>
      <c r="E291"/>
      <c r="F291"/>
    </row>
    <row r="292" spans="1:6" ht="14.4" x14ac:dyDescent="0.3">
      <c r="A292"/>
      <c r="B292"/>
      <c r="C292"/>
      <c r="D292"/>
      <c r="E292"/>
      <c r="F292"/>
    </row>
    <row r="293" spans="1:6" ht="14.4" x14ac:dyDescent="0.3">
      <c r="A293"/>
      <c r="B293"/>
      <c r="C293"/>
      <c r="D293"/>
      <c r="E293"/>
      <c r="F293"/>
    </row>
    <row r="294" spans="1:6" ht="14.4" x14ac:dyDescent="0.3">
      <c r="A294"/>
      <c r="B294"/>
      <c r="C294"/>
      <c r="D294"/>
      <c r="E294"/>
      <c r="F294"/>
    </row>
    <row r="295" spans="1:6" ht="14.4" x14ac:dyDescent="0.3">
      <c r="A295"/>
      <c r="B295"/>
      <c r="C295"/>
      <c r="D295"/>
      <c r="E295"/>
      <c r="F295"/>
    </row>
    <row r="296" spans="1:6" ht="14.4" x14ac:dyDescent="0.3">
      <c r="A296"/>
      <c r="B296"/>
      <c r="C296"/>
      <c r="D296"/>
      <c r="E296"/>
      <c r="F296"/>
    </row>
    <row r="297" spans="1:6" ht="14.4" x14ac:dyDescent="0.3">
      <c r="A297"/>
      <c r="B297"/>
      <c r="C297"/>
      <c r="D297"/>
      <c r="E297"/>
      <c r="F297"/>
    </row>
    <row r="298" spans="1:6" ht="14.4" x14ac:dyDescent="0.3">
      <c r="A298"/>
      <c r="B298"/>
      <c r="C298"/>
      <c r="D298"/>
      <c r="E298"/>
      <c r="F298"/>
    </row>
    <row r="299" spans="1:6" ht="14.4" x14ac:dyDescent="0.3">
      <c r="A299"/>
      <c r="B299"/>
      <c r="C299"/>
      <c r="D299"/>
      <c r="E299"/>
      <c r="F299"/>
    </row>
    <row r="300" spans="1:6" ht="14.4" x14ac:dyDescent="0.3">
      <c r="A300"/>
      <c r="B300"/>
      <c r="C300"/>
      <c r="D300"/>
      <c r="E300"/>
      <c r="F300"/>
    </row>
    <row r="301" spans="1:6" ht="14.4" x14ac:dyDescent="0.3">
      <c r="A301"/>
      <c r="B301"/>
      <c r="C301"/>
      <c r="D301"/>
      <c r="E301"/>
      <c r="F301"/>
    </row>
    <row r="302" spans="1:6" ht="14.4" x14ac:dyDescent="0.3">
      <c r="A302"/>
      <c r="B302"/>
      <c r="C302"/>
      <c r="D302"/>
      <c r="E302"/>
      <c r="F302"/>
    </row>
    <row r="303" spans="1:6" ht="14.4" x14ac:dyDescent="0.3">
      <c r="A303"/>
      <c r="B303"/>
      <c r="C303"/>
      <c r="D303"/>
      <c r="E303"/>
      <c r="F303"/>
    </row>
    <row r="304" spans="1:6" ht="14.4" x14ac:dyDescent="0.3">
      <c r="A304"/>
      <c r="B304"/>
      <c r="C304"/>
      <c r="D304"/>
      <c r="E304"/>
      <c r="F304"/>
    </row>
    <row r="305" spans="1:6" ht="14.4" x14ac:dyDescent="0.3">
      <c r="A305"/>
      <c r="B305"/>
      <c r="C305"/>
      <c r="D305"/>
      <c r="E305"/>
      <c r="F305"/>
    </row>
    <row r="306" spans="1:6" ht="14.4" x14ac:dyDescent="0.3">
      <c r="A306"/>
      <c r="B306"/>
      <c r="C306"/>
      <c r="D306"/>
      <c r="E306"/>
      <c r="F306"/>
    </row>
    <row r="307" spans="1:6" ht="14.4" x14ac:dyDescent="0.3">
      <c r="A307"/>
      <c r="B307"/>
      <c r="C307"/>
      <c r="D307"/>
      <c r="E307"/>
      <c r="F307"/>
    </row>
    <row r="308" spans="1:6" ht="14.4" x14ac:dyDescent="0.3">
      <c r="A308"/>
      <c r="B308"/>
      <c r="C308"/>
      <c r="D308"/>
      <c r="E308"/>
      <c r="F308"/>
    </row>
    <row r="309" spans="1:6" ht="14.4" x14ac:dyDescent="0.3">
      <c r="A309"/>
      <c r="B309"/>
      <c r="C309"/>
      <c r="D309"/>
      <c r="E309"/>
      <c r="F309"/>
    </row>
    <row r="310" spans="1:6" ht="14.4" x14ac:dyDescent="0.3">
      <c r="A310"/>
      <c r="B310"/>
      <c r="C310"/>
      <c r="D310"/>
      <c r="E310"/>
      <c r="F310"/>
    </row>
    <row r="311" spans="1:6" ht="14.4" x14ac:dyDescent="0.3">
      <c r="A311"/>
      <c r="B311"/>
      <c r="C311"/>
      <c r="D311"/>
      <c r="E311"/>
      <c r="F311"/>
    </row>
    <row r="312" spans="1:6" ht="14.4" x14ac:dyDescent="0.3">
      <c r="A312"/>
      <c r="B312"/>
      <c r="C312"/>
      <c r="D312"/>
      <c r="E312"/>
      <c r="F312"/>
    </row>
    <row r="313" spans="1:6" ht="14.4" x14ac:dyDescent="0.3">
      <c r="A313"/>
      <c r="B313"/>
      <c r="C313"/>
      <c r="D313"/>
      <c r="E313"/>
      <c r="F313"/>
    </row>
    <row r="314" spans="1:6" ht="14.4" x14ac:dyDescent="0.3">
      <c r="A314"/>
      <c r="B314"/>
      <c r="C314"/>
      <c r="D314"/>
      <c r="E314"/>
      <c r="F314"/>
    </row>
    <row r="315" spans="1:6" ht="14.4" x14ac:dyDescent="0.3">
      <c r="A315"/>
      <c r="B315"/>
      <c r="C315"/>
      <c r="D315"/>
      <c r="E315"/>
      <c r="F315"/>
    </row>
    <row r="316" spans="1:6" ht="14.4" x14ac:dyDescent="0.3">
      <c r="A316"/>
      <c r="B316"/>
      <c r="C316"/>
      <c r="D316"/>
      <c r="E316"/>
      <c r="F316"/>
    </row>
    <row r="317" spans="1:6" ht="14.4" x14ac:dyDescent="0.3">
      <c r="A317"/>
      <c r="B317"/>
      <c r="C317"/>
      <c r="D317"/>
      <c r="E317"/>
      <c r="F317"/>
    </row>
    <row r="318" spans="1:6" ht="14.4" x14ac:dyDescent="0.3">
      <c r="A318"/>
      <c r="B318"/>
      <c r="C318"/>
      <c r="D318"/>
      <c r="E318"/>
      <c r="F318"/>
    </row>
    <row r="319" spans="1:6" ht="14.4" x14ac:dyDescent="0.3">
      <c r="A319"/>
      <c r="B319"/>
      <c r="C319"/>
      <c r="D319"/>
      <c r="E319"/>
      <c r="F319"/>
    </row>
    <row r="320" spans="1:6" ht="14.4" x14ac:dyDescent="0.3">
      <c r="A320"/>
      <c r="B320"/>
      <c r="C320"/>
      <c r="D320"/>
      <c r="E320"/>
      <c r="F320"/>
    </row>
    <row r="321" spans="1:6" ht="14.4" x14ac:dyDescent="0.3">
      <c r="A321"/>
      <c r="B321"/>
      <c r="C321"/>
      <c r="D321"/>
      <c r="E321"/>
      <c r="F321"/>
    </row>
    <row r="322" spans="1:6" ht="14.4" x14ac:dyDescent="0.3">
      <c r="A322"/>
      <c r="B322"/>
      <c r="C322"/>
      <c r="D322"/>
      <c r="E322"/>
      <c r="F322"/>
    </row>
    <row r="323" spans="1:6" ht="14.4" x14ac:dyDescent="0.3">
      <c r="A323"/>
      <c r="B323"/>
      <c r="C323"/>
      <c r="D323"/>
      <c r="E323"/>
      <c r="F323"/>
    </row>
    <row r="324" spans="1:6" ht="14.4" x14ac:dyDescent="0.3">
      <c r="A324"/>
      <c r="B324"/>
      <c r="C324"/>
      <c r="D324"/>
      <c r="E324"/>
      <c r="F324"/>
    </row>
    <row r="325" spans="1:6" ht="14.4" x14ac:dyDescent="0.3">
      <c r="A325"/>
      <c r="B325"/>
      <c r="C325"/>
      <c r="D325"/>
      <c r="E325"/>
      <c r="F325"/>
    </row>
    <row r="326" spans="1:6" ht="14.4" x14ac:dyDescent="0.3">
      <c r="A326"/>
      <c r="B326"/>
      <c r="C326"/>
      <c r="D326"/>
      <c r="E326"/>
      <c r="F326"/>
    </row>
    <row r="327" spans="1:6" ht="14.4" x14ac:dyDescent="0.3">
      <c r="A327"/>
      <c r="B327"/>
      <c r="C327"/>
      <c r="D327"/>
      <c r="E327"/>
      <c r="F327"/>
    </row>
    <row r="328" spans="1:6" ht="14.4" x14ac:dyDescent="0.3">
      <c r="A328"/>
      <c r="B328"/>
      <c r="C328"/>
      <c r="D328"/>
      <c r="E328"/>
      <c r="F328"/>
    </row>
    <row r="329" spans="1:6" ht="14.4" x14ac:dyDescent="0.3">
      <c r="A329"/>
      <c r="B329"/>
      <c r="C329"/>
      <c r="D329"/>
      <c r="E329"/>
      <c r="F329"/>
    </row>
    <row r="330" spans="1:6" ht="14.4" x14ac:dyDescent="0.3">
      <c r="A330"/>
      <c r="B330"/>
      <c r="C330"/>
      <c r="D330"/>
      <c r="E330"/>
      <c r="F330"/>
    </row>
    <row r="331" spans="1:6" ht="14.4" x14ac:dyDescent="0.3">
      <c r="A331"/>
      <c r="B331"/>
      <c r="C331"/>
      <c r="D331"/>
      <c r="E331"/>
      <c r="F331"/>
    </row>
    <row r="332" spans="1:6" ht="14.4" x14ac:dyDescent="0.3">
      <c r="A332"/>
      <c r="B332"/>
      <c r="C332"/>
      <c r="D332"/>
      <c r="E332"/>
      <c r="F332"/>
    </row>
    <row r="333" spans="1:6" ht="14.4" x14ac:dyDescent="0.3">
      <c r="A333"/>
      <c r="B333"/>
      <c r="C333"/>
      <c r="D333"/>
      <c r="E333"/>
      <c r="F333"/>
    </row>
    <row r="334" spans="1:6" ht="14.4" x14ac:dyDescent="0.3">
      <c r="A334"/>
      <c r="B334"/>
      <c r="C334"/>
      <c r="D334"/>
      <c r="E334"/>
      <c r="F334"/>
    </row>
    <row r="335" spans="1:6" ht="14.4" x14ac:dyDescent="0.3">
      <c r="A335"/>
      <c r="B335"/>
      <c r="C335"/>
      <c r="D335"/>
      <c r="E335"/>
      <c r="F335"/>
    </row>
    <row r="336" spans="1:6" ht="14.4" x14ac:dyDescent="0.3">
      <c r="A336"/>
      <c r="B336"/>
      <c r="C336"/>
      <c r="D336"/>
      <c r="E336"/>
      <c r="F336"/>
    </row>
    <row r="337" spans="1:6" ht="14.4" x14ac:dyDescent="0.3">
      <c r="A337"/>
      <c r="B337"/>
      <c r="C337"/>
      <c r="D337"/>
      <c r="E337"/>
      <c r="F337"/>
    </row>
    <row r="338" spans="1:6" ht="14.4" x14ac:dyDescent="0.3">
      <c r="A338"/>
      <c r="B338"/>
      <c r="C338"/>
      <c r="D338"/>
      <c r="E338"/>
      <c r="F338"/>
    </row>
    <row r="339" spans="1:6" ht="14.4" x14ac:dyDescent="0.3">
      <c r="A339"/>
      <c r="B339"/>
      <c r="C339"/>
      <c r="D339"/>
      <c r="E339"/>
      <c r="F339"/>
    </row>
    <row r="340" spans="1:6" ht="14.4" x14ac:dyDescent="0.3">
      <c r="A340"/>
      <c r="B340"/>
      <c r="C340"/>
      <c r="D340"/>
      <c r="E340"/>
      <c r="F340"/>
    </row>
    <row r="341" spans="1:6" ht="14.4" x14ac:dyDescent="0.3">
      <c r="A341"/>
      <c r="B341"/>
      <c r="C341"/>
      <c r="D341"/>
      <c r="E341"/>
      <c r="F341"/>
    </row>
    <row r="342" spans="1:6" ht="14.4" x14ac:dyDescent="0.3">
      <c r="A342"/>
      <c r="B342"/>
      <c r="C342"/>
      <c r="D342"/>
      <c r="E342"/>
      <c r="F342"/>
    </row>
    <row r="343" spans="1:6" ht="14.4" x14ac:dyDescent="0.3">
      <c r="A343"/>
      <c r="B343"/>
      <c r="C343"/>
      <c r="D343"/>
      <c r="E343"/>
      <c r="F343"/>
    </row>
    <row r="344" spans="1:6" ht="14.4" x14ac:dyDescent="0.3">
      <c r="A344"/>
      <c r="B344"/>
      <c r="C344"/>
      <c r="D344"/>
      <c r="E344"/>
      <c r="F344"/>
    </row>
    <row r="345" spans="1:6" ht="14.4" x14ac:dyDescent="0.3">
      <c r="A345"/>
      <c r="B345"/>
      <c r="C345"/>
      <c r="D345"/>
      <c r="E345"/>
      <c r="F345"/>
    </row>
    <row r="346" spans="1:6" ht="14.4" x14ac:dyDescent="0.3">
      <c r="A346"/>
      <c r="B346"/>
      <c r="C346"/>
      <c r="D346"/>
      <c r="E346"/>
      <c r="F346"/>
    </row>
    <row r="347" spans="1:6" ht="14.4" x14ac:dyDescent="0.3">
      <c r="A347"/>
      <c r="B347"/>
      <c r="C347"/>
      <c r="D347"/>
      <c r="E347"/>
      <c r="F347"/>
    </row>
    <row r="348" spans="1:6" ht="14.4" x14ac:dyDescent="0.3">
      <c r="A348"/>
      <c r="B348"/>
      <c r="C348"/>
      <c r="D348"/>
      <c r="E348"/>
      <c r="F348"/>
    </row>
    <row r="349" spans="1:6" ht="14.4" x14ac:dyDescent="0.3">
      <c r="A349"/>
      <c r="B349"/>
      <c r="C349"/>
      <c r="D349"/>
      <c r="E349"/>
      <c r="F349"/>
    </row>
    <row r="350" spans="1:6" ht="14.4" x14ac:dyDescent="0.3">
      <c r="A350"/>
      <c r="B350"/>
      <c r="C350"/>
      <c r="D350"/>
      <c r="E350"/>
      <c r="F350"/>
    </row>
    <row r="351" spans="1:6" ht="14.4" x14ac:dyDescent="0.3">
      <c r="A351"/>
      <c r="B351"/>
      <c r="C351"/>
      <c r="D351"/>
      <c r="E351"/>
      <c r="F351"/>
    </row>
    <row r="352" spans="1:6" ht="14.4" x14ac:dyDescent="0.3">
      <c r="A352"/>
      <c r="B352"/>
      <c r="C352"/>
      <c r="D352"/>
      <c r="E352"/>
      <c r="F352"/>
    </row>
    <row r="353" spans="1:6" ht="14.4" x14ac:dyDescent="0.3">
      <c r="A353"/>
      <c r="B353"/>
      <c r="C353"/>
      <c r="D353"/>
      <c r="E353"/>
      <c r="F353"/>
    </row>
    <row r="354" spans="1:6" ht="14.4" x14ac:dyDescent="0.3">
      <c r="A354"/>
      <c r="B354"/>
      <c r="C354"/>
      <c r="D354"/>
      <c r="E354"/>
      <c r="F354"/>
    </row>
    <row r="355" spans="1:6" ht="14.4" x14ac:dyDescent="0.3">
      <c r="A355"/>
      <c r="B355"/>
      <c r="C355"/>
      <c r="D355"/>
      <c r="E355"/>
      <c r="F355"/>
    </row>
    <row r="356" spans="1:6" ht="14.4" x14ac:dyDescent="0.3">
      <c r="A356"/>
      <c r="B356"/>
      <c r="C356"/>
      <c r="D356"/>
      <c r="E356"/>
      <c r="F356"/>
    </row>
    <row r="357" spans="1:6" ht="14.4" x14ac:dyDescent="0.3">
      <c r="A357"/>
      <c r="B357"/>
      <c r="C357"/>
      <c r="D357"/>
      <c r="E357"/>
      <c r="F357"/>
    </row>
    <row r="358" spans="1:6" ht="14.4" x14ac:dyDescent="0.3">
      <c r="A358"/>
      <c r="B358"/>
      <c r="C358"/>
      <c r="D358"/>
      <c r="E358"/>
      <c r="F358"/>
    </row>
    <row r="359" spans="1:6" ht="14.4" x14ac:dyDescent="0.3">
      <c r="A359"/>
      <c r="B359"/>
      <c r="C359"/>
      <c r="D359"/>
      <c r="E359"/>
      <c r="F359"/>
    </row>
    <row r="360" spans="1:6" ht="14.4" x14ac:dyDescent="0.3">
      <c r="A360"/>
      <c r="B360"/>
      <c r="C360"/>
      <c r="D360"/>
      <c r="E360"/>
      <c r="F360"/>
    </row>
    <row r="361" spans="1:6" ht="14.4" x14ac:dyDescent="0.3">
      <c r="A361"/>
      <c r="B361"/>
      <c r="C361"/>
      <c r="D361"/>
      <c r="E361"/>
      <c r="F361"/>
    </row>
    <row r="362" spans="1:6" ht="14.4" x14ac:dyDescent="0.3">
      <c r="A362"/>
      <c r="B362"/>
      <c r="C362"/>
      <c r="D362"/>
      <c r="E362"/>
      <c r="F362"/>
    </row>
    <row r="363" spans="1:6" ht="14.4" x14ac:dyDescent="0.3">
      <c r="A363"/>
      <c r="B363"/>
      <c r="C363"/>
      <c r="D363"/>
      <c r="E363"/>
      <c r="F363"/>
    </row>
    <row r="364" spans="1:6" ht="14.4" x14ac:dyDescent="0.3">
      <c r="A364"/>
      <c r="B364"/>
      <c r="C364"/>
      <c r="D364"/>
      <c r="E364"/>
      <c r="F364"/>
    </row>
    <row r="365" spans="1:6" ht="14.4" x14ac:dyDescent="0.3">
      <c r="A365"/>
      <c r="B365"/>
      <c r="C365"/>
      <c r="D365"/>
      <c r="E365"/>
      <c r="F365"/>
    </row>
    <row r="366" spans="1:6" ht="14.4" x14ac:dyDescent="0.3">
      <c r="A366"/>
      <c r="B366"/>
      <c r="C366"/>
      <c r="D366"/>
      <c r="E366"/>
      <c r="F366"/>
    </row>
    <row r="367" spans="1:6" ht="14.4" x14ac:dyDescent="0.3">
      <c r="A367"/>
      <c r="B367"/>
      <c r="C367"/>
      <c r="D367"/>
      <c r="E367"/>
      <c r="F367"/>
    </row>
    <row r="368" spans="1:6" ht="14.4" x14ac:dyDescent="0.3">
      <c r="A368"/>
      <c r="B368"/>
      <c r="C368"/>
      <c r="D368"/>
      <c r="E368"/>
      <c r="F368"/>
    </row>
    <row r="369" spans="1:6" ht="14.4" x14ac:dyDescent="0.3">
      <c r="A369"/>
      <c r="B369"/>
      <c r="C369"/>
      <c r="D369"/>
      <c r="E369"/>
      <c r="F369"/>
    </row>
    <row r="370" spans="1:6" ht="14.4" x14ac:dyDescent="0.3">
      <c r="A370"/>
      <c r="B370"/>
      <c r="C370"/>
      <c r="D370"/>
      <c r="E370"/>
      <c r="F370"/>
    </row>
    <row r="371" spans="1:6" ht="14.4" x14ac:dyDescent="0.3">
      <c r="A371"/>
      <c r="B371"/>
      <c r="C371"/>
      <c r="D371"/>
      <c r="E371"/>
      <c r="F371"/>
    </row>
    <row r="372" spans="1:6" ht="14.4" x14ac:dyDescent="0.3">
      <c r="A372"/>
      <c r="B372"/>
      <c r="C372"/>
      <c r="D372"/>
      <c r="E372"/>
      <c r="F372"/>
    </row>
    <row r="373" spans="1:6" ht="14.4" x14ac:dyDescent="0.3">
      <c r="A373"/>
      <c r="B373"/>
      <c r="C373"/>
      <c r="D373"/>
      <c r="E373"/>
      <c r="F373"/>
    </row>
    <row r="374" spans="1:6" ht="14.4" x14ac:dyDescent="0.3">
      <c r="A374"/>
      <c r="B374"/>
      <c r="C374"/>
      <c r="D374"/>
      <c r="E374"/>
      <c r="F374"/>
    </row>
    <row r="375" spans="1:6" ht="14.4" x14ac:dyDescent="0.3">
      <c r="A375"/>
      <c r="B375"/>
      <c r="C375"/>
      <c r="D375"/>
      <c r="E375"/>
      <c r="F375"/>
    </row>
    <row r="376" spans="1:6" ht="14.4" x14ac:dyDescent="0.3">
      <c r="A376"/>
      <c r="B376"/>
      <c r="C376"/>
      <c r="D376"/>
      <c r="E376"/>
      <c r="F376"/>
    </row>
    <row r="377" spans="1:6" ht="14.4" x14ac:dyDescent="0.3">
      <c r="A377"/>
      <c r="B377"/>
      <c r="C377"/>
      <c r="D377"/>
      <c r="E377"/>
      <c r="F377"/>
    </row>
    <row r="378" spans="1:6" ht="14.4" x14ac:dyDescent="0.3">
      <c r="A378"/>
      <c r="B378"/>
      <c r="C378"/>
      <c r="D378"/>
      <c r="E378"/>
      <c r="F378"/>
    </row>
    <row r="379" spans="1:6" ht="14.4" x14ac:dyDescent="0.3">
      <c r="A379"/>
      <c r="B379"/>
      <c r="C379"/>
      <c r="D379"/>
      <c r="E379"/>
      <c r="F379"/>
    </row>
    <row r="380" spans="1:6" ht="14.4" x14ac:dyDescent="0.3">
      <c r="A380"/>
      <c r="B380"/>
      <c r="C380"/>
      <c r="D380"/>
      <c r="E380"/>
      <c r="F380"/>
    </row>
    <row r="381" spans="1:6" ht="14.4" x14ac:dyDescent="0.3">
      <c r="A381"/>
      <c r="B381"/>
      <c r="C381"/>
      <c r="D381"/>
      <c r="E381"/>
      <c r="F381"/>
    </row>
    <row r="382" spans="1:6" ht="14.4" x14ac:dyDescent="0.3">
      <c r="A382"/>
      <c r="B382"/>
      <c r="C382"/>
      <c r="D382"/>
      <c r="E382"/>
      <c r="F382"/>
    </row>
    <row r="383" spans="1:6" ht="14.4" x14ac:dyDescent="0.3">
      <c r="A383"/>
      <c r="B383"/>
      <c r="C383"/>
      <c r="D383"/>
      <c r="E383"/>
      <c r="F383"/>
    </row>
    <row r="384" spans="1:6" ht="14.4" x14ac:dyDescent="0.3">
      <c r="A384"/>
      <c r="B384"/>
      <c r="C384"/>
      <c r="D384"/>
      <c r="E384"/>
      <c r="F384"/>
    </row>
    <row r="385" spans="1:6" ht="14.4" x14ac:dyDescent="0.3">
      <c r="A385"/>
      <c r="B385"/>
      <c r="C385"/>
      <c r="D385"/>
      <c r="E385"/>
      <c r="F385"/>
    </row>
    <row r="386" spans="1:6" ht="14.4" x14ac:dyDescent="0.3">
      <c r="A386"/>
      <c r="B386"/>
      <c r="C386"/>
      <c r="D386"/>
      <c r="E386"/>
      <c r="F386"/>
    </row>
    <row r="387" spans="1:6" ht="14.4" x14ac:dyDescent="0.3">
      <c r="A387"/>
      <c r="B387"/>
      <c r="C387"/>
      <c r="D387"/>
      <c r="E387"/>
      <c r="F387"/>
    </row>
    <row r="388" spans="1:6" ht="14.4" x14ac:dyDescent="0.3">
      <c r="A388"/>
      <c r="B388"/>
      <c r="C388"/>
      <c r="D388"/>
      <c r="E388"/>
      <c r="F388"/>
    </row>
    <row r="389" spans="1:6" ht="14.4" x14ac:dyDescent="0.3">
      <c r="A389"/>
      <c r="B389"/>
      <c r="C389"/>
      <c r="D389"/>
      <c r="E389"/>
      <c r="F389"/>
    </row>
    <row r="390" spans="1:6" ht="14.4" x14ac:dyDescent="0.3">
      <c r="A390"/>
      <c r="B390"/>
      <c r="C390"/>
      <c r="D390"/>
      <c r="E390"/>
      <c r="F390"/>
    </row>
    <row r="391" spans="1:6" ht="14.4" x14ac:dyDescent="0.3">
      <c r="A391"/>
      <c r="B391"/>
      <c r="C391"/>
      <c r="D391"/>
      <c r="E391"/>
      <c r="F391"/>
    </row>
    <row r="392" spans="1:6" ht="14.4" x14ac:dyDescent="0.3">
      <c r="A392"/>
      <c r="B392"/>
      <c r="C392"/>
      <c r="D392"/>
      <c r="E392"/>
      <c r="F392"/>
    </row>
    <row r="393" spans="1:6" ht="14.4" x14ac:dyDescent="0.3">
      <c r="A393"/>
      <c r="B393"/>
      <c r="C393"/>
      <c r="D393"/>
      <c r="E393"/>
      <c r="F393"/>
    </row>
    <row r="394" spans="1:6" ht="14.4" x14ac:dyDescent="0.3">
      <c r="A394"/>
      <c r="B394"/>
      <c r="C394"/>
      <c r="D394"/>
      <c r="E394"/>
      <c r="F394"/>
    </row>
    <row r="395" spans="1:6" ht="14.4" x14ac:dyDescent="0.3">
      <c r="A395"/>
      <c r="B395"/>
      <c r="C395"/>
      <c r="D395"/>
      <c r="E395"/>
      <c r="F395"/>
    </row>
    <row r="396" spans="1:6" ht="14.4" x14ac:dyDescent="0.3">
      <c r="A396"/>
      <c r="B396"/>
      <c r="C396"/>
      <c r="D396"/>
      <c r="E396"/>
      <c r="F396"/>
    </row>
    <row r="397" spans="1:6" ht="14.4" x14ac:dyDescent="0.3">
      <c r="A397"/>
      <c r="B397"/>
      <c r="C397"/>
      <c r="D397"/>
      <c r="E397"/>
      <c r="F397"/>
    </row>
    <row r="398" spans="1:6" ht="14.4" x14ac:dyDescent="0.3">
      <c r="A398"/>
      <c r="B398"/>
      <c r="C398"/>
      <c r="D398"/>
      <c r="E398"/>
      <c r="F398"/>
    </row>
    <row r="399" spans="1:6" ht="14.4" x14ac:dyDescent="0.3">
      <c r="A399"/>
      <c r="B399"/>
      <c r="C399"/>
      <c r="D399"/>
      <c r="E399"/>
      <c r="F399"/>
    </row>
    <row r="400" spans="1:6" ht="14.4" x14ac:dyDescent="0.3">
      <c r="A400"/>
      <c r="B400"/>
      <c r="C400"/>
      <c r="D400"/>
      <c r="E400"/>
      <c r="F400"/>
    </row>
    <row r="401" spans="1:6" ht="14.4" x14ac:dyDescent="0.3">
      <c r="A401"/>
      <c r="B401"/>
      <c r="C401"/>
      <c r="D401"/>
      <c r="E401"/>
      <c r="F401"/>
    </row>
    <row r="402" spans="1:6" ht="14.4" x14ac:dyDescent="0.3">
      <c r="A402"/>
      <c r="B402"/>
      <c r="C402"/>
      <c r="D402"/>
      <c r="E402"/>
      <c r="F402"/>
    </row>
    <row r="403" spans="1:6" ht="14.4" x14ac:dyDescent="0.3">
      <c r="A403"/>
      <c r="B403"/>
      <c r="C403"/>
      <c r="D403"/>
      <c r="E403"/>
      <c r="F403"/>
    </row>
    <row r="404" spans="1:6" ht="14.4" x14ac:dyDescent="0.3">
      <c r="A404"/>
      <c r="B404"/>
      <c r="C404"/>
      <c r="D404"/>
      <c r="E404"/>
      <c r="F404"/>
    </row>
    <row r="405" spans="1:6" ht="14.4" x14ac:dyDescent="0.3">
      <c r="A405"/>
      <c r="B405"/>
      <c r="C405"/>
      <c r="D405"/>
      <c r="E405"/>
      <c r="F405"/>
    </row>
    <row r="406" spans="1:6" ht="14.4" x14ac:dyDescent="0.3">
      <c r="A406"/>
      <c r="B406"/>
      <c r="C406"/>
      <c r="D406"/>
      <c r="E406"/>
      <c r="F406"/>
    </row>
    <row r="407" spans="1:6" ht="14.4" x14ac:dyDescent="0.3">
      <c r="A407"/>
      <c r="B407"/>
      <c r="C407"/>
      <c r="D407"/>
      <c r="E407"/>
      <c r="F407"/>
    </row>
    <row r="408" spans="1:6" ht="14.4" x14ac:dyDescent="0.3">
      <c r="A408"/>
      <c r="B408"/>
      <c r="C408"/>
      <c r="D408"/>
      <c r="E408"/>
      <c r="F408"/>
    </row>
    <row r="409" spans="1:6" ht="14.4" x14ac:dyDescent="0.3">
      <c r="A409"/>
      <c r="B409"/>
      <c r="C409"/>
      <c r="D409"/>
      <c r="E409"/>
      <c r="F409"/>
    </row>
    <row r="410" spans="1:6" ht="14.4" x14ac:dyDescent="0.3">
      <c r="A410"/>
      <c r="B410"/>
      <c r="C410"/>
      <c r="D410"/>
      <c r="E410"/>
      <c r="F410"/>
    </row>
    <row r="411" spans="1:6" ht="14.4" x14ac:dyDescent="0.3">
      <c r="A411"/>
      <c r="B411"/>
      <c r="C411"/>
      <c r="D411"/>
      <c r="E411"/>
      <c r="F411"/>
    </row>
    <row r="412" spans="1:6" ht="14.4" x14ac:dyDescent="0.3">
      <c r="A412"/>
      <c r="B412"/>
      <c r="C412"/>
      <c r="D412"/>
      <c r="E412"/>
      <c r="F412"/>
    </row>
    <row r="413" spans="1:6" ht="14.4" x14ac:dyDescent="0.3">
      <c r="A413"/>
      <c r="B413"/>
      <c r="C413"/>
      <c r="D413"/>
      <c r="E413"/>
      <c r="F413"/>
    </row>
    <row r="414" spans="1:6" ht="14.4" x14ac:dyDescent="0.3">
      <c r="A414"/>
      <c r="B414"/>
      <c r="C414"/>
      <c r="D414"/>
      <c r="E414"/>
      <c r="F414"/>
    </row>
    <row r="415" spans="1:6" ht="14.4" x14ac:dyDescent="0.3">
      <c r="A415"/>
      <c r="B415"/>
      <c r="C415"/>
      <c r="D415"/>
      <c r="E415"/>
      <c r="F415"/>
    </row>
    <row r="416" spans="1:6" ht="14.4" x14ac:dyDescent="0.3">
      <c r="A416"/>
      <c r="B416"/>
      <c r="C416"/>
      <c r="D416"/>
      <c r="E416"/>
      <c r="F416"/>
    </row>
    <row r="417" spans="1:6" ht="14.4" x14ac:dyDescent="0.3">
      <c r="A417"/>
      <c r="B417"/>
      <c r="C417"/>
      <c r="D417"/>
      <c r="E417"/>
      <c r="F417"/>
    </row>
    <row r="418" spans="1:6" ht="14.4" x14ac:dyDescent="0.3">
      <c r="A418"/>
      <c r="B418"/>
      <c r="C418"/>
      <c r="D418"/>
      <c r="E418"/>
      <c r="F418"/>
    </row>
    <row r="419" spans="1:6" ht="14.4" x14ac:dyDescent="0.3">
      <c r="A419"/>
      <c r="B419"/>
      <c r="C419"/>
      <c r="D419"/>
      <c r="E419"/>
      <c r="F419"/>
    </row>
    <row r="420" spans="1:6" ht="14.4" x14ac:dyDescent="0.3">
      <c r="A420"/>
      <c r="B420"/>
      <c r="C420"/>
      <c r="D420"/>
      <c r="E420"/>
      <c r="F420"/>
    </row>
    <row r="421" spans="1:6" ht="14.4" x14ac:dyDescent="0.3">
      <c r="A421"/>
      <c r="B421"/>
      <c r="C421"/>
      <c r="D421"/>
      <c r="E421"/>
      <c r="F421"/>
    </row>
    <row r="422" spans="1:6" ht="14.4" x14ac:dyDescent="0.3">
      <c r="A422"/>
      <c r="B422"/>
      <c r="C422"/>
      <c r="D422"/>
      <c r="E422"/>
      <c r="F422"/>
    </row>
    <row r="423" spans="1:6" ht="14.4" x14ac:dyDescent="0.3">
      <c r="A423"/>
      <c r="B423"/>
      <c r="C423"/>
      <c r="D423"/>
      <c r="E423"/>
      <c r="F423"/>
    </row>
    <row r="424" spans="1:6" ht="14.4" x14ac:dyDescent="0.3">
      <c r="A424"/>
      <c r="B424"/>
      <c r="C424"/>
      <c r="D424"/>
      <c r="E424"/>
      <c r="F424"/>
    </row>
    <row r="425" spans="1:6" ht="14.4" x14ac:dyDescent="0.3">
      <c r="A425"/>
      <c r="B425"/>
      <c r="C425"/>
      <c r="D425"/>
      <c r="E425"/>
      <c r="F425"/>
    </row>
    <row r="426" spans="1:6" ht="14.4" x14ac:dyDescent="0.3">
      <c r="A426"/>
      <c r="B426"/>
      <c r="C426"/>
      <c r="D426"/>
      <c r="E426"/>
      <c r="F426"/>
    </row>
    <row r="427" spans="1:6" ht="14.4" x14ac:dyDescent="0.3">
      <c r="A427"/>
      <c r="B427"/>
      <c r="C427"/>
      <c r="D427"/>
      <c r="E427"/>
      <c r="F427"/>
    </row>
    <row r="428" spans="1:6" ht="14.4" x14ac:dyDescent="0.3">
      <c r="A428"/>
      <c r="B428"/>
      <c r="C428"/>
      <c r="D428"/>
      <c r="E428"/>
      <c r="F428"/>
    </row>
    <row r="429" spans="1:6" ht="14.4" x14ac:dyDescent="0.3">
      <c r="A429"/>
      <c r="B429"/>
      <c r="C429"/>
      <c r="D429"/>
      <c r="E429"/>
      <c r="F429"/>
    </row>
    <row r="430" spans="1:6" ht="14.4" x14ac:dyDescent="0.3">
      <c r="A430"/>
      <c r="B430"/>
      <c r="C430"/>
      <c r="D430"/>
      <c r="E430"/>
      <c r="F430"/>
    </row>
    <row r="431" spans="1:6" ht="14.4" x14ac:dyDescent="0.3">
      <c r="A431"/>
      <c r="B431"/>
      <c r="C431"/>
      <c r="D431"/>
      <c r="E431"/>
      <c r="F431"/>
    </row>
    <row r="432" spans="1:6" ht="14.4" x14ac:dyDescent="0.3">
      <c r="A432"/>
      <c r="B432"/>
      <c r="C432"/>
      <c r="D432"/>
      <c r="E432"/>
      <c r="F432"/>
    </row>
    <row r="433" spans="1:6" ht="14.4" x14ac:dyDescent="0.3">
      <c r="A433"/>
      <c r="B433"/>
      <c r="C433"/>
      <c r="D433"/>
      <c r="E433"/>
      <c r="F433"/>
    </row>
    <row r="434" spans="1:6" ht="14.4" x14ac:dyDescent="0.3">
      <c r="A434"/>
      <c r="B434"/>
      <c r="C434"/>
      <c r="D434"/>
      <c r="E434"/>
      <c r="F434"/>
    </row>
    <row r="435" spans="1:6" ht="14.4" x14ac:dyDescent="0.3">
      <c r="A435"/>
      <c r="B435"/>
      <c r="C435"/>
      <c r="D435"/>
      <c r="E435"/>
      <c r="F435"/>
    </row>
    <row r="436" spans="1:6" ht="14.4" x14ac:dyDescent="0.3">
      <c r="A436"/>
      <c r="B436"/>
      <c r="C436"/>
      <c r="D436"/>
      <c r="E436"/>
      <c r="F436"/>
    </row>
    <row r="437" spans="1:6" ht="14.4" x14ac:dyDescent="0.3">
      <c r="A437"/>
      <c r="B437"/>
      <c r="C437"/>
      <c r="D437"/>
      <c r="E437"/>
      <c r="F437"/>
    </row>
    <row r="438" spans="1:6" ht="14.4" x14ac:dyDescent="0.3">
      <c r="A438"/>
      <c r="B438"/>
      <c r="C438"/>
      <c r="D438"/>
      <c r="E438"/>
      <c r="F438"/>
    </row>
    <row r="439" spans="1:6" ht="14.4" x14ac:dyDescent="0.3">
      <c r="A439"/>
      <c r="B439"/>
      <c r="C439"/>
      <c r="D439"/>
      <c r="E439"/>
      <c r="F439"/>
    </row>
    <row r="440" spans="1:6" ht="14.4" x14ac:dyDescent="0.3">
      <c r="A440"/>
      <c r="B440"/>
      <c r="C440"/>
      <c r="D440"/>
      <c r="E440"/>
      <c r="F440"/>
    </row>
    <row r="441" spans="1:6" ht="14.4" x14ac:dyDescent="0.3">
      <c r="A441"/>
      <c r="B441"/>
      <c r="C441"/>
      <c r="D441"/>
      <c r="E441"/>
      <c r="F441"/>
    </row>
    <row r="442" spans="1:6" ht="14.4" x14ac:dyDescent="0.3">
      <c r="A442"/>
      <c r="B442"/>
      <c r="C442"/>
      <c r="D442"/>
      <c r="E442"/>
      <c r="F442"/>
    </row>
    <row r="443" spans="1:6" ht="14.4" x14ac:dyDescent="0.3">
      <c r="A443"/>
      <c r="B443"/>
      <c r="C443"/>
      <c r="D443"/>
      <c r="E443"/>
      <c r="F443"/>
    </row>
    <row r="444" spans="1:6" ht="14.4" x14ac:dyDescent="0.3">
      <c r="A444"/>
      <c r="B444"/>
      <c r="C444"/>
      <c r="D444"/>
      <c r="E444"/>
      <c r="F444"/>
    </row>
    <row r="445" spans="1:6" ht="14.4" x14ac:dyDescent="0.3">
      <c r="A445"/>
      <c r="B445"/>
      <c r="C445"/>
      <c r="D445"/>
      <c r="E445"/>
      <c r="F445"/>
    </row>
    <row r="446" spans="1:6" ht="14.4" x14ac:dyDescent="0.3">
      <c r="A446"/>
      <c r="B446"/>
      <c r="C446"/>
      <c r="D446"/>
      <c r="E446"/>
      <c r="F446"/>
    </row>
    <row r="447" spans="1:6" ht="14.4" x14ac:dyDescent="0.3">
      <c r="A447"/>
      <c r="B447"/>
      <c r="C447"/>
      <c r="D447"/>
      <c r="E447"/>
      <c r="F447"/>
    </row>
    <row r="448" spans="1:6" ht="14.4" x14ac:dyDescent="0.3">
      <c r="A448"/>
      <c r="B448"/>
      <c r="C448"/>
      <c r="D448"/>
      <c r="E448"/>
      <c r="F448"/>
    </row>
    <row r="449" spans="1:6" ht="14.4" x14ac:dyDescent="0.3">
      <c r="A449"/>
      <c r="B449"/>
      <c r="C449"/>
      <c r="D449"/>
      <c r="E449"/>
      <c r="F449"/>
    </row>
    <row r="450" spans="1:6" ht="14.4" x14ac:dyDescent="0.3">
      <c r="A450"/>
      <c r="B450"/>
      <c r="C450"/>
      <c r="D450"/>
      <c r="E450"/>
      <c r="F450"/>
    </row>
    <row r="451" spans="1:6" ht="14.4" x14ac:dyDescent="0.3">
      <c r="A451"/>
      <c r="B451"/>
      <c r="C451"/>
      <c r="D451"/>
      <c r="E451"/>
      <c r="F451"/>
    </row>
    <row r="452" spans="1:6" ht="14.4" x14ac:dyDescent="0.3">
      <c r="A452"/>
      <c r="B452"/>
      <c r="C452"/>
      <c r="D452"/>
      <c r="E452"/>
      <c r="F452"/>
    </row>
    <row r="453" spans="1:6" ht="14.4" x14ac:dyDescent="0.3">
      <c r="A453"/>
      <c r="B453"/>
      <c r="C453"/>
      <c r="D453"/>
      <c r="E453"/>
      <c r="F453"/>
    </row>
    <row r="454" spans="1:6" ht="14.4" x14ac:dyDescent="0.3">
      <c r="A454"/>
      <c r="B454"/>
      <c r="C454"/>
      <c r="D454"/>
      <c r="E454"/>
      <c r="F454"/>
    </row>
    <row r="455" spans="1:6" ht="14.4" x14ac:dyDescent="0.3">
      <c r="A455"/>
      <c r="B455"/>
      <c r="C455"/>
      <c r="D455"/>
      <c r="E455"/>
      <c r="F455"/>
    </row>
    <row r="456" spans="1:6" ht="14.4" x14ac:dyDescent="0.3">
      <c r="A456"/>
      <c r="B456"/>
      <c r="C456"/>
      <c r="D456"/>
      <c r="E456"/>
      <c r="F456"/>
    </row>
    <row r="457" spans="1:6" ht="14.4" x14ac:dyDescent="0.3">
      <c r="A457"/>
      <c r="B457"/>
      <c r="C457"/>
      <c r="D457"/>
      <c r="E457"/>
      <c r="F457"/>
    </row>
    <row r="458" spans="1:6" ht="14.4" x14ac:dyDescent="0.3">
      <c r="A458"/>
      <c r="B458"/>
      <c r="C458"/>
      <c r="D458"/>
      <c r="E458"/>
      <c r="F458"/>
    </row>
    <row r="459" spans="1:6" ht="14.4" x14ac:dyDescent="0.3">
      <c r="A459"/>
      <c r="B459"/>
      <c r="C459"/>
      <c r="D459"/>
      <c r="E459"/>
      <c r="F459"/>
    </row>
    <row r="460" spans="1:6" ht="14.4" x14ac:dyDescent="0.3">
      <c r="A460"/>
      <c r="B460"/>
      <c r="C460"/>
      <c r="D460"/>
      <c r="E460"/>
      <c r="F460"/>
    </row>
    <row r="461" spans="1:6" ht="14.4" x14ac:dyDescent="0.3">
      <c r="A461"/>
      <c r="B461"/>
      <c r="C461"/>
      <c r="D461"/>
      <c r="E461"/>
      <c r="F461"/>
    </row>
    <row r="462" spans="1:6" ht="14.4" x14ac:dyDescent="0.3">
      <c r="A462"/>
      <c r="B462"/>
      <c r="C462"/>
      <c r="D462"/>
      <c r="E462"/>
      <c r="F462"/>
    </row>
    <row r="463" spans="1:6" ht="14.4" x14ac:dyDescent="0.3">
      <c r="A463"/>
      <c r="B463"/>
      <c r="C463"/>
      <c r="D463"/>
      <c r="E463"/>
      <c r="F463"/>
    </row>
    <row r="464" spans="1:6" ht="14.4" x14ac:dyDescent="0.3">
      <c r="A464"/>
      <c r="B464"/>
      <c r="C464"/>
      <c r="D464"/>
      <c r="E464"/>
      <c r="F464"/>
    </row>
    <row r="465" spans="1:6" ht="14.4" x14ac:dyDescent="0.3">
      <c r="A465"/>
      <c r="B465"/>
      <c r="C465"/>
      <c r="D465"/>
      <c r="E465"/>
      <c r="F465"/>
    </row>
    <row r="466" spans="1:6" ht="14.4" x14ac:dyDescent="0.3">
      <c r="A466"/>
      <c r="B466"/>
      <c r="C466"/>
      <c r="D466"/>
      <c r="E466"/>
      <c r="F466"/>
    </row>
    <row r="467" spans="1:6" ht="14.4" x14ac:dyDescent="0.3">
      <c r="A467"/>
      <c r="B467"/>
      <c r="C467"/>
      <c r="D467"/>
      <c r="E467"/>
      <c r="F467"/>
    </row>
    <row r="468" spans="1:6" ht="14.4" x14ac:dyDescent="0.3">
      <c r="A468"/>
      <c r="B468"/>
      <c r="C468"/>
      <c r="D468"/>
      <c r="E468"/>
      <c r="F468"/>
    </row>
    <row r="469" spans="1:6" ht="14.4" x14ac:dyDescent="0.3">
      <c r="A469"/>
      <c r="B469"/>
      <c r="C469"/>
      <c r="D469"/>
      <c r="E469"/>
      <c r="F469"/>
    </row>
    <row r="470" spans="1:6" ht="14.4" x14ac:dyDescent="0.3">
      <c r="A470"/>
      <c r="B470"/>
      <c r="C470"/>
      <c r="D470"/>
      <c r="E470"/>
      <c r="F470"/>
    </row>
    <row r="471" spans="1:6" ht="14.4" x14ac:dyDescent="0.3">
      <c r="A471"/>
      <c r="B471"/>
      <c r="C471"/>
      <c r="D471"/>
      <c r="E471"/>
      <c r="F471"/>
    </row>
    <row r="472" spans="1:6" ht="14.4" x14ac:dyDescent="0.3">
      <c r="A472"/>
      <c r="B472"/>
      <c r="C472"/>
      <c r="D472"/>
      <c r="E472"/>
      <c r="F472"/>
    </row>
    <row r="473" spans="1:6" ht="14.4" x14ac:dyDescent="0.3">
      <c r="A473"/>
      <c r="B473"/>
      <c r="C473"/>
      <c r="D473"/>
      <c r="E473"/>
      <c r="F473"/>
    </row>
    <row r="474" spans="1:6" ht="14.4" x14ac:dyDescent="0.3">
      <c r="A474"/>
      <c r="B474"/>
      <c r="C474"/>
      <c r="D474"/>
      <c r="E474"/>
      <c r="F474"/>
    </row>
    <row r="475" spans="1:6" ht="14.4" x14ac:dyDescent="0.3">
      <c r="A475"/>
      <c r="B475"/>
      <c r="C475"/>
      <c r="D475"/>
      <c r="E475"/>
      <c r="F475"/>
    </row>
    <row r="476" spans="1:6" ht="14.4" x14ac:dyDescent="0.3">
      <c r="A476"/>
      <c r="B476"/>
      <c r="C476"/>
      <c r="D476"/>
      <c r="E476"/>
      <c r="F476"/>
    </row>
    <row r="477" spans="1:6" ht="14.4" x14ac:dyDescent="0.3">
      <c r="A477"/>
      <c r="B477"/>
      <c r="C477"/>
      <c r="D477"/>
      <c r="E477"/>
      <c r="F477"/>
    </row>
    <row r="478" spans="1:6" ht="14.4" x14ac:dyDescent="0.3">
      <c r="A478"/>
      <c r="B478"/>
      <c r="C478"/>
      <c r="D478"/>
      <c r="E478"/>
      <c r="F478"/>
    </row>
    <row r="479" spans="1:6" ht="14.4" x14ac:dyDescent="0.3">
      <c r="A479"/>
      <c r="B479"/>
      <c r="C479"/>
      <c r="D479"/>
      <c r="E479"/>
      <c r="F479"/>
    </row>
    <row r="480" spans="1:6" ht="14.4" x14ac:dyDescent="0.3">
      <c r="A480"/>
      <c r="B480"/>
      <c r="C480"/>
      <c r="D480"/>
      <c r="E480"/>
      <c r="F480"/>
    </row>
    <row r="481" spans="1:6" ht="14.4" x14ac:dyDescent="0.3">
      <c r="A481"/>
      <c r="B481"/>
      <c r="C481"/>
      <c r="D481"/>
      <c r="E481"/>
      <c r="F481"/>
    </row>
    <row r="482" spans="1:6" ht="14.4" x14ac:dyDescent="0.3">
      <c r="A482"/>
      <c r="B482"/>
      <c r="C482"/>
      <c r="D482"/>
      <c r="E482"/>
      <c r="F482"/>
    </row>
    <row r="483" spans="1:6" ht="14.4" x14ac:dyDescent="0.3">
      <c r="A483"/>
      <c r="B483"/>
      <c r="C483"/>
      <c r="D483"/>
      <c r="E483"/>
      <c r="F483"/>
    </row>
    <row r="484" spans="1:6" ht="14.4" x14ac:dyDescent="0.3">
      <c r="A484"/>
      <c r="B484"/>
      <c r="C484"/>
      <c r="D484"/>
      <c r="E484"/>
      <c r="F484"/>
    </row>
    <row r="485" spans="1:6" ht="14.4" x14ac:dyDescent="0.3">
      <c r="A485"/>
      <c r="B485"/>
      <c r="C485"/>
      <c r="D485"/>
      <c r="E485"/>
      <c r="F485"/>
    </row>
    <row r="486" spans="1:6" ht="14.4" x14ac:dyDescent="0.3">
      <c r="A486"/>
      <c r="B486"/>
      <c r="C486"/>
      <c r="D486"/>
      <c r="E486"/>
      <c r="F486"/>
    </row>
    <row r="487" spans="1:6" ht="14.4" x14ac:dyDescent="0.3">
      <c r="A487"/>
      <c r="B487"/>
      <c r="C487"/>
      <c r="D487"/>
      <c r="E487"/>
      <c r="F487"/>
    </row>
    <row r="488" spans="1:6" ht="14.4" x14ac:dyDescent="0.3">
      <c r="A488"/>
      <c r="B488"/>
      <c r="C488"/>
      <c r="D488"/>
      <c r="E488"/>
      <c r="F488"/>
    </row>
    <row r="489" spans="1:6" ht="14.4" x14ac:dyDescent="0.3">
      <c r="A489"/>
      <c r="B489"/>
      <c r="C489"/>
      <c r="D489"/>
      <c r="E489"/>
      <c r="F489"/>
    </row>
    <row r="490" spans="1:6" ht="14.4" x14ac:dyDescent="0.3">
      <c r="A490"/>
      <c r="B490"/>
      <c r="C490"/>
      <c r="D490"/>
      <c r="E490"/>
      <c r="F490"/>
    </row>
    <row r="491" spans="1:6" ht="14.4" x14ac:dyDescent="0.3">
      <c r="A491"/>
      <c r="B491"/>
      <c r="C491"/>
      <c r="D491"/>
      <c r="E491"/>
      <c r="F491"/>
    </row>
    <row r="492" spans="1:6" ht="14.4" x14ac:dyDescent="0.3">
      <c r="A492"/>
      <c r="B492"/>
      <c r="C492"/>
      <c r="D492"/>
      <c r="E492"/>
      <c r="F492"/>
    </row>
    <row r="493" spans="1:6" ht="14.4" x14ac:dyDescent="0.3">
      <c r="A493"/>
      <c r="B493"/>
      <c r="C493"/>
      <c r="D493"/>
      <c r="E493"/>
      <c r="F493"/>
    </row>
    <row r="494" spans="1:6" ht="14.4" x14ac:dyDescent="0.3">
      <c r="A494"/>
      <c r="B494"/>
      <c r="C494"/>
      <c r="D494"/>
      <c r="E494"/>
      <c r="F494"/>
    </row>
    <row r="495" spans="1:6" ht="14.4" x14ac:dyDescent="0.3">
      <c r="A495"/>
      <c r="B495"/>
      <c r="C495"/>
      <c r="D495"/>
      <c r="E495"/>
      <c r="F495"/>
    </row>
    <row r="496" spans="1:6" ht="14.4" x14ac:dyDescent="0.3">
      <c r="A496"/>
      <c r="B496"/>
      <c r="C496"/>
      <c r="D496"/>
      <c r="E496"/>
      <c r="F496"/>
    </row>
    <row r="497" spans="1:6" ht="14.4" x14ac:dyDescent="0.3">
      <c r="A497"/>
      <c r="B497"/>
      <c r="C497"/>
      <c r="D497"/>
      <c r="E497"/>
      <c r="F497"/>
    </row>
    <row r="498" spans="1:6" ht="14.4" x14ac:dyDescent="0.3">
      <c r="A498"/>
      <c r="B498"/>
      <c r="C498"/>
      <c r="D498"/>
      <c r="E498"/>
      <c r="F498"/>
    </row>
    <row r="499" spans="1:6" ht="14.4" x14ac:dyDescent="0.3">
      <c r="A499"/>
      <c r="B499"/>
      <c r="C499"/>
      <c r="D499"/>
      <c r="E499"/>
      <c r="F499"/>
    </row>
    <row r="500" spans="1:6" ht="14.4" x14ac:dyDescent="0.3">
      <c r="A500"/>
      <c r="B500"/>
      <c r="C500"/>
      <c r="D500"/>
      <c r="E500"/>
      <c r="F500"/>
    </row>
    <row r="501" spans="1:6" ht="14.4" x14ac:dyDescent="0.3">
      <c r="A501"/>
      <c r="B501"/>
      <c r="C501"/>
      <c r="D501"/>
      <c r="E501"/>
      <c r="F501"/>
    </row>
    <row r="502" spans="1:6" ht="14.4" x14ac:dyDescent="0.3">
      <c r="A502"/>
      <c r="B502"/>
      <c r="C502"/>
      <c r="D502"/>
      <c r="E502"/>
      <c r="F502"/>
    </row>
    <row r="503" spans="1:6" ht="14.4" x14ac:dyDescent="0.3">
      <c r="A503"/>
      <c r="B503"/>
      <c r="C503"/>
      <c r="D503"/>
      <c r="E503"/>
      <c r="F503"/>
    </row>
    <row r="504" spans="1:6" ht="14.4" x14ac:dyDescent="0.3">
      <c r="A504"/>
      <c r="B504"/>
      <c r="C504"/>
      <c r="D504"/>
      <c r="E504"/>
      <c r="F504"/>
    </row>
    <row r="505" spans="1:6" ht="14.4" x14ac:dyDescent="0.3">
      <c r="A505"/>
      <c r="B505"/>
      <c r="C505"/>
      <c r="D505"/>
      <c r="E505"/>
      <c r="F505"/>
    </row>
    <row r="506" spans="1:6" ht="14.4" x14ac:dyDescent="0.3">
      <c r="A506"/>
      <c r="B506"/>
      <c r="C506"/>
      <c r="D506"/>
      <c r="E506"/>
      <c r="F506"/>
    </row>
    <row r="507" spans="1:6" ht="14.4" x14ac:dyDescent="0.3">
      <c r="A507"/>
      <c r="B507"/>
      <c r="C507"/>
      <c r="D507"/>
      <c r="E507"/>
      <c r="F507"/>
    </row>
    <row r="508" spans="1:6" ht="14.4" x14ac:dyDescent="0.3">
      <c r="A508"/>
      <c r="B508"/>
      <c r="C508"/>
      <c r="D508"/>
      <c r="E508"/>
      <c r="F508"/>
    </row>
    <row r="509" spans="1:6" ht="14.4" x14ac:dyDescent="0.3">
      <c r="A509"/>
      <c r="B509"/>
      <c r="C509"/>
      <c r="D509"/>
      <c r="E509"/>
      <c r="F509"/>
    </row>
    <row r="510" spans="1:6" ht="14.4" x14ac:dyDescent="0.3">
      <c r="A510"/>
      <c r="B510"/>
      <c r="C510"/>
      <c r="D510"/>
      <c r="E510"/>
      <c r="F510"/>
    </row>
    <row r="511" spans="1:6" ht="14.4" x14ac:dyDescent="0.3">
      <c r="A511"/>
      <c r="B511"/>
      <c r="C511"/>
      <c r="D511"/>
      <c r="E511"/>
      <c r="F511"/>
    </row>
    <row r="512" spans="1:6" ht="14.4" x14ac:dyDescent="0.3">
      <c r="A512"/>
      <c r="B512"/>
      <c r="C512"/>
      <c r="D512"/>
      <c r="E512"/>
      <c r="F512"/>
    </row>
    <row r="513" spans="1:6" ht="14.4" x14ac:dyDescent="0.3">
      <c r="A513"/>
      <c r="B513"/>
      <c r="C513"/>
      <c r="D513"/>
      <c r="E513"/>
      <c r="F513"/>
    </row>
    <row r="514" spans="1:6" ht="14.4" x14ac:dyDescent="0.3">
      <c r="A514"/>
      <c r="B514"/>
      <c r="C514"/>
      <c r="D514"/>
      <c r="E514"/>
      <c r="F514"/>
    </row>
    <row r="515" spans="1:6" ht="14.4" x14ac:dyDescent="0.3">
      <c r="A515"/>
      <c r="B515"/>
      <c r="C515"/>
      <c r="D515"/>
      <c r="E515"/>
      <c r="F515"/>
    </row>
    <row r="516" spans="1:6" ht="14.4" x14ac:dyDescent="0.3">
      <c r="A516"/>
      <c r="B516"/>
      <c r="C516"/>
      <c r="D516"/>
      <c r="E516"/>
      <c r="F516"/>
    </row>
    <row r="517" spans="1:6" ht="14.4" x14ac:dyDescent="0.3">
      <c r="A517"/>
      <c r="B517"/>
      <c r="C517"/>
      <c r="D517"/>
      <c r="E517"/>
      <c r="F517"/>
    </row>
    <row r="518" spans="1:6" ht="14.4" x14ac:dyDescent="0.3">
      <c r="A518"/>
      <c r="B518"/>
      <c r="C518"/>
      <c r="D518"/>
      <c r="E518"/>
      <c r="F518"/>
    </row>
    <row r="519" spans="1:6" ht="14.4" x14ac:dyDescent="0.3">
      <c r="A519"/>
      <c r="B519"/>
      <c r="C519"/>
      <c r="D519"/>
      <c r="E519"/>
      <c r="F519"/>
    </row>
    <row r="520" spans="1:6" ht="14.4" x14ac:dyDescent="0.3">
      <c r="A520"/>
      <c r="B520"/>
      <c r="C520"/>
      <c r="D520"/>
      <c r="E520"/>
      <c r="F520"/>
    </row>
    <row r="521" spans="1:6" ht="14.4" x14ac:dyDescent="0.3">
      <c r="A521"/>
      <c r="B521"/>
      <c r="C521"/>
      <c r="D521"/>
      <c r="E521"/>
      <c r="F521"/>
    </row>
    <row r="522" spans="1:6" ht="14.4" x14ac:dyDescent="0.3">
      <c r="A522"/>
      <c r="B522"/>
      <c r="C522"/>
      <c r="D522"/>
      <c r="E522"/>
      <c r="F522"/>
    </row>
    <row r="523" spans="1:6" ht="14.4" x14ac:dyDescent="0.3">
      <c r="A523"/>
      <c r="B523"/>
      <c r="C523"/>
      <c r="D523"/>
      <c r="E523"/>
      <c r="F523"/>
    </row>
    <row r="524" spans="1:6" ht="14.4" x14ac:dyDescent="0.3">
      <c r="A524"/>
      <c r="B524"/>
      <c r="C524"/>
      <c r="D524"/>
      <c r="E524"/>
      <c r="F524"/>
    </row>
    <row r="525" spans="1:6" ht="14.4" x14ac:dyDescent="0.3">
      <c r="A525"/>
      <c r="B525"/>
      <c r="C525"/>
      <c r="D525"/>
      <c r="E525"/>
      <c r="F525"/>
    </row>
    <row r="526" spans="1:6" ht="14.4" x14ac:dyDescent="0.3">
      <c r="A526"/>
      <c r="B526"/>
      <c r="C526"/>
      <c r="D526"/>
      <c r="E526"/>
      <c r="F526"/>
    </row>
    <row r="527" spans="1:6" ht="14.4" x14ac:dyDescent="0.3">
      <c r="A527"/>
      <c r="B527"/>
      <c r="C527"/>
      <c r="D527"/>
      <c r="E527"/>
      <c r="F527"/>
    </row>
    <row r="528" spans="1:6" ht="14.4" x14ac:dyDescent="0.3">
      <c r="A528"/>
      <c r="B528"/>
      <c r="C528"/>
      <c r="D528"/>
      <c r="E528"/>
      <c r="F528"/>
    </row>
    <row r="529" spans="1:6" ht="14.4" x14ac:dyDescent="0.3">
      <c r="A529"/>
      <c r="B529"/>
      <c r="C529"/>
      <c r="D529"/>
      <c r="E529"/>
      <c r="F529"/>
    </row>
    <row r="530" spans="1:6" ht="14.4" x14ac:dyDescent="0.3">
      <c r="A530"/>
      <c r="B530"/>
      <c r="C530"/>
      <c r="D530"/>
      <c r="E530"/>
      <c r="F530"/>
    </row>
    <row r="531" spans="1:6" ht="14.4" x14ac:dyDescent="0.3">
      <c r="A531"/>
      <c r="B531"/>
      <c r="C531"/>
      <c r="D531"/>
      <c r="E531"/>
      <c r="F531"/>
    </row>
    <row r="532" spans="1:6" ht="14.4" x14ac:dyDescent="0.3">
      <c r="A532"/>
      <c r="B532"/>
      <c r="C532"/>
      <c r="D532"/>
      <c r="E532"/>
      <c r="F532"/>
    </row>
    <row r="533" spans="1:6" ht="14.4" x14ac:dyDescent="0.3">
      <c r="A533"/>
      <c r="B533"/>
      <c r="C533"/>
      <c r="D533"/>
      <c r="E533"/>
      <c r="F533"/>
    </row>
    <row r="534" spans="1:6" ht="14.4" x14ac:dyDescent="0.3">
      <c r="A534"/>
      <c r="B534"/>
      <c r="C534"/>
      <c r="D534"/>
      <c r="E534"/>
      <c r="F534"/>
    </row>
    <row r="535" spans="1:6" ht="14.4" x14ac:dyDescent="0.3">
      <c r="A535"/>
      <c r="B535"/>
      <c r="C535"/>
      <c r="D535"/>
      <c r="E535"/>
      <c r="F535"/>
    </row>
    <row r="536" spans="1:6" ht="14.4" x14ac:dyDescent="0.3">
      <c r="A536"/>
      <c r="B536"/>
      <c r="C536"/>
      <c r="D536"/>
      <c r="E536"/>
      <c r="F536"/>
    </row>
    <row r="537" spans="1:6" ht="14.4" x14ac:dyDescent="0.3">
      <c r="A537"/>
      <c r="B537"/>
      <c r="C537"/>
      <c r="D537"/>
      <c r="E537"/>
      <c r="F537"/>
    </row>
    <row r="538" spans="1:6" ht="14.4" x14ac:dyDescent="0.3">
      <c r="A538"/>
      <c r="B538"/>
      <c r="C538"/>
      <c r="D538"/>
      <c r="E538"/>
      <c r="F538"/>
    </row>
    <row r="539" spans="1:6" ht="14.4" x14ac:dyDescent="0.3">
      <c r="A539"/>
      <c r="B539"/>
      <c r="C539"/>
      <c r="D539"/>
      <c r="E539"/>
      <c r="F539"/>
    </row>
    <row r="540" spans="1:6" ht="14.4" x14ac:dyDescent="0.3">
      <c r="A540"/>
      <c r="B540"/>
      <c r="C540"/>
      <c r="D540"/>
      <c r="E540"/>
      <c r="F540"/>
    </row>
    <row r="541" spans="1:6" ht="14.4" x14ac:dyDescent="0.3">
      <c r="A541"/>
      <c r="B541"/>
      <c r="C541"/>
      <c r="D541"/>
      <c r="E541"/>
      <c r="F541"/>
    </row>
    <row r="542" spans="1:6" ht="14.4" x14ac:dyDescent="0.3">
      <c r="A542"/>
      <c r="B542"/>
      <c r="C542"/>
      <c r="D542"/>
      <c r="E542"/>
      <c r="F542"/>
    </row>
    <row r="543" spans="1:6" ht="14.4" x14ac:dyDescent="0.3">
      <c r="A543"/>
      <c r="B543"/>
      <c r="C543"/>
      <c r="D543"/>
      <c r="E543"/>
      <c r="F543"/>
    </row>
    <row r="544" spans="1:6" ht="14.4" x14ac:dyDescent="0.3">
      <c r="A544"/>
      <c r="B544"/>
      <c r="C544"/>
      <c r="D544"/>
      <c r="E544"/>
      <c r="F544"/>
    </row>
    <row r="545" spans="1:6" ht="14.4" x14ac:dyDescent="0.3">
      <c r="A545"/>
      <c r="B545"/>
      <c r="C545"/>
      <c r="D545"/>
      <c r="E545"/>
      <c r="F545"/>
    </row>
    <row r="546" spans="1:6" ht="14.4" x14ac:dyDescent="0.3">
      <c r="A546"/>
      <c r="B546"/>
      <c r="C546"/>
      <c r="D546"/>
      <c r="E546"/>
      <c r="F546"/>
    </row>
    <row r="547" spans="1:6" ht="14.4" x14ac:dyDescent="0.3">
      <c r="A547"/>
      <c r="B547"/>
      <c r="C547"/>
      <c r="D547"/>
      <c r="E547"/>
      <c r="F547"/>
    </row>
    <row r="548" spans="1:6" ht="14.4" x14ac:dyDescent="0.3">
      <c r="A548"/>
      <c r="B548"/>
      <c r="C548"/>
      <c r="D548"/>
      <c r="E548"/>
      <c r="F548"/>
    </row>
    <row r="549" spans="1:6" ht="14.4" x14ac:dyDescent="0.3">
      <c r="A549"/>
      <c r="B549"/>
      <c r="C549"/>
      <c r="D549"/>
      <c r="E549"/>
      <c r="F549"/>
    </row>
    <row r="550" spans="1:6" ht="14.4" x14ac:dyDescent="0.3">
      <c r="A550"/>
      <c r="B550"/>
      <c r="C550"/>
      <c r="D550"/>
      <c r="E550"/>
      <c r="F550"/>
    </row>
    <row r="551" spans="1:6" ht="14.4" x14ac:dyDescent="0.3">
      <c r="A551"/>
      <c r="B551"/>
      <c r="C551"/>
      <c r="D551"/>
      <c r="E551"/>
      <c r="F551"/>
    </row>
    <row r="552" spans="1:6" ht="14.4" x14ac:dyDescent="0.3">
      <c r="A552"/>
      <c r="B552"/>
      <c r="C552"/>
      <c r="D552"/>
      <c r="E552"/>
      <c r="F552"/>
    </row>
    <row r="553" spans="1:6" ht="14.4" x14ac:dyDescent="0.3">
      <c r="A553"/>
      <c r="B553"/>
      <c r="C553"/>
      <c r="D553"/>
      <c r="E553"/>
      <c r="F553"/>
    </row>
    <row r="554" spans="1:6" ht="14.4" x14ac:dyDescent="0.3">
      <c r="A554"/>
      <c r="B554"/>
      <c r="C554"/>
      <c r="D554"/>
      <c r="E554"/>
      <c r="F554"/>
    </row>
    <row r="555" spans="1:6" ht="14.4" x14ac:dyDescent="0.3">
      <c r="A555"/>
      <c r="B555"/>
      <c r="C555"/>
      <c r="D555"/>
      <c r="E555"/>
      <c r="F555"/>
    </row>
    <row r="556" spans="1:6" ht="14.4" x14ac:dyDescent="0.3">
      <c r="A556"/>
      <c r="B556"/>
      <c r="C556"/>
      <c r="D556"/>
      <c r="E556"/>
      <c r="F556"/>
    </row>
    <row r="557" spans="1:6" ht="14.4" x14ac:dyDescent="0.3">
      <c r="A557"/>
      <c r="B557"/>
      <c r="C557"/>
      <c r="D557"/>
      <c r="E557"/>
      <c r="F557"/>
    </row>
    <row r="558" spans="1:6" ht="14.4" x14ac:dyDescent="0.3">
      <c r="A558"/>
      <c r="B558"/>
      <c r="C558"/>
      <c r="D558"/>
      <c r="E558"/>
      <c r="F558"/>
    </row>
    <row r="559" spans="1:6" ht="14.4" x14ac:dyDescent="0.3">
      <c r="A559"/>
      <c r="B559"/>
      <c r="C559"/>
      <c r="D559"/>
      <c r="E559"/>
      <c r="F559"/>
    </row>
    <row r="560" spans="1:6" ht="14.4" x14ac:dyDescent="0.3">
      <c r="A560"/>
      <c r="B560"/>
      <c r="C560"/>
      <c r="D560"/>
      <c r="E560"/>
      <c r="F560"/>
    </row>
    <row r="561" spans="1:6" ht="14.4" x14ac:dyDescent="0.3">
      <c r="A561"/>
      <c r="B561"/>
      <c r="C561"/>
      <c r="D561"/>
      <c r="E561"/>
      <c r="F561"/>
    </row>
    <row r="562" spans="1:6" ht="14.4" x14ac:dyDescent="0.3">
      <c r="A562"/>
      <c r="B562"/>
      <c r="C562"/>
      <c r="D562"/>
      <c r="E562"/>
      <c r="F562"/>
    </row>
    <row r="563" spans="1:6" ht="14.4" x14ac:dyDescent="0.3">
      <c r="A563"/>
      <c r="B563"/>
      <c r="C563"/>
      <c r="D563"/>
      <c r="E563"/>
      <c r="F563"/>
    </row>
    <row r="564" spans="1:6" ht="14.4" x14ac:dyDescent="0.3">
      <c r="A564"/>
      <c r="B564"/>
      <c r="C564"/>
      <c r="D564"/>
      <c r="E564"/>
      <c r="F564"/>
    </row>
    <row r="565" spans="1:6" ht="14.4" x14ac:dyDescent="0.3">
      <c r="A565"/>
      <c r="B565"/>
      <c r="C565"/>
      <c r="D565"/>
      <c r="E565"/>
      <c r="F565"/>
    </row>
    <row r="566" spans="1:6" ht="14.4" x14ac:dyDescent="0.3">
      <c r="A566"/>
      <c r="B566"/>
      <c r="C566"/>
      <c r="D566"/>
      <c r="E566"/>
      <c r="F566"/>
    </row>
    <row r="567" spans="1:6" ht="15" thickBot="1" x14ac:dyDescent="0.35">
      <c r="A567"/>
      <c r="B567"/>
      <c r="C567"/>
      <c r="D567"/>
      <c r="E567"/>
      <c r="F567"/>
    </row>
    <row r="568" spans="1:6" ht="13.8" thickTop="1" x14ac:dyDescent="0.25"/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rgb="FFC00000"/>
    <pageSetUpPr fitToPage="1"/>
  </sheetPr>
  <dimension ref="A1:M329"/>
  <sheetViews>
    <sheetView showGridLines="0" zoomScale="85" zoomScaleNormal="85" workbookViewId="0">
      <pane xSplit="1" ySplit="12" topLeftCell="B13" activePane="bottomRight" state="frozen"/>
      <selection activeCell="B15" sqref="B15"/>
      <selection pane="topRight" activeCell="B15" sqref="B15"/>
      <selection pane="bottomLeft" activeCell="B15" sqref="B15"/>
      <selection pane="bottomRight" activeCell="B13" sqref="B13"/>
    </sheetView>
  </sheetViews>
  <sheetFormatPr defaultColWidth="11.33203125" defaultRowHeight="13.2" x14ac:dyDescent="0.25"/>
  <cols>
    <col min="1" max="1" width="18.77734375" style="45" bestFit="1" customWidth="1"/>
    <col min="2" max="2" width="46.33203125" style="45" bestFit="1" customWidth="1"/>
    <col min="3" max="3" width="20.6640625" style="45" bestFit="1" customWidth="1"/>
    <col min="4" max="4" width="11.109375" style="45" bestFit="1" customWidth="1"/>
    <col min="5" max="5" width="16" style="45" customWidth="1"/>
    <col min="6" max="6" width="9" style="45" customWidth="1"/>
    <col min="7" max="7" width="38.33203125" style="45" customWidth="1"/>
    <col min="8" max="8" width="10.21875" style="45" customWidth="1"/>
    <col min="9" max="9" width="10.5546875" style="45" customWidth="1"/>
    <col min="10" max="10" width="7.21875" style="45" customWidth="1"/>
    <col min="11" max="11" width="7.109375" style="45" customWidth="1"/>
    <col min="12" max="16384" width="11.33203125" style="45"/>
  </cols>
  <sheetData>
    <row r="1" spans="1:13" ht="21" x14ac:dyDescent="0.4">
      <c r="A1" s="44"/>
    </row>
    <row r="2" spans="1:13" x14ac:dyDescent="0.25">
      <c r="A2" s="46"/>
    </row>
    <row r="3" spans="1:13" x14ac:dyDescent="0.25">
      <c r="A3" s="46">
        <f>Updated</f>
        <v>0</v>
      </c>
    </row>
    <row r="4" spans="1:13" x14ac:dyDescent="0.25">
      <c r="A4" s="46"/>
    </row>
    <row r="5" spans="1:13" x14ac:dyDescent="0.25">
      <c r="A5" s="46"/>
    </row>
    <row r="6" spans="1:13" ht="14.4" x14ac:dyDescent="0.3">
      <c r="A6"/>
      <c r="B6"/>
    </row>
    <row r="7" spans="1:13" ht="14.4" x14ac:dyDescent="0.3">
      <c r="A7"/>
      <c r="B7"/>
    </row>
    <row r="8" spans="1:13" ht="14.4" x14ac:dyDescent="0.3">
      <c r="A8" s="47" t="s">
        <v>297</v>
      </c>
      <c r="B8" s="48" t="s">
        <v>132</v>
      </c>
    </row>
    <row r="9" spans="1:13" ht="14.4" x14ac:dyDescent="0.3">
      <c r="A9" s="47" t="s">
        <v>328</v>
      </c>
      <c r="B9" s="48" t="s">
        <v>132</v>
      </c>
    </row>
    <row r="10" spans="1:13" ht="14.4" x14ac:dyDescent="0.3">
      <c r="A10" s="47" t="s">
        <v>324</v>
      </c>
      <c r="B10" s="48" t="s">
        <v>132</v>
      </c>
    </row>
    <row r="11" spans="1:13" x14ac:dyDescent="0.25">
      <c r="A11" s="46"/>
    </row>
    <row r="12" spans="1:13" ht="14.4" x14ac:dyDescent="0.3">
      <c r="A12" s="1" t="s">
        <v>226</v>
      </c>
      <c r="B12" s="50" t="s">
        <v>264</v>
      </c>
      <c r="C12" s="50" t="s">
        <v>281</v>
      </c>
      <c r="D12" s="50" t="s">
        <v>342</v>
      </c>
      <c r="E12" s="50" t="s">
        <v>320</v>
      </c>
      <c r="F12" s="50" t="s">
        <v>298</v>
      </c>
      <c r="G12" s="50" t="s">
        <v>272</v>
      </c>
      <c r="H12" s="52" t="s">
        <v>350</v>
      </c>
      <c r="I12" s="59" t="s">
        <v>351</v>
      </c>
      <c r="J12" s="57" t="s">
        <v>352</v>
      </c>
      <c r="K12"/>
      <c r="L12"/>
      <c r="M12"/>
    </row>
    <row r="13" spans="1:13" ht="14.4" x14ac:dyDescent="0.3">
      <c r="A13" s="54" t="s">
        <v>239</v>
      </c>
      <c r="B13" s="61" t="s">
        <v>339</v>
      </c>
      <c r="C13" s="49" t="s">
        <v>338</v>
      </c>
      <c r="D13" s="61" t="s">
        <v>253</v>
      </c>
      <c r="E13" s="49">
        <v>7129020</v>
      </c>
      <c r="F13" s="61" t="s">
        <v>232</v>
      </c>
      <c r="G13" s="49" t="s">
        <v>344</v>
      </c>
      <c r="H13" s="74">
        <v>1.31</v>
      </c>
      <c r="I13" s="66">
        <v>0</v>
      </c>
      <c r="J13" s="69">
        <v>0</v>
      </c>
      <c r="K13"/>
      <c r="L13"/>
      <c r="M13"/>
    </row>
    <row r="14" spans="1:13" ht="14.4" x14ac:dyDescent="0.3">
      <c r="A14" s="55"/>
      <c r="B14" s="56"/>
      <c r="C14" s="56"/>
      <c r="D14" s="56"/>
      <c r="E14" s="56"/>
      <c r="F14" s="56"/>
      <c r="G14" s="56"/>
      <c r="H14" s="76"/>
      <c r="I14" s="68"/>
      <c r="J14" s="71"/>
      <c r="K14"/>
      <c r="L14"/>
      <c r="M14"/>
    </row>
    <row r="15" spans="1:13" ht="15" thickBot="1" x14ac:dyDescent="0.35">
      <c r="A15" s="51" t="s">
        <v>131</v>
      </c>
      <c r="B15" s="12"/>
      <c r="C15" s="12"/>
      <c r="D15" s="12"/>
      <c r="E15" s="12"/>
      <c r="F15" s="12"/>
      <c r="G15" s="12"/>
      <c r="H15" s="67">
        <v>1.31</v>
      </c>
      <c r="I15" s="67">
        <v>0</v>
      </c>
      <c r="J15" s="70">
        <v>0</v>
      </c>
      <c r="K15"/>
      <c r="L15"/>
      <c r="M15"/>
    </row>
    <row r="16" spans="1:13" ht="15" thickTop="1" x14ac:dyDescent="0.3">
      <c r="A16"/>
      <c r="B16"/>
      <c r="C16"/>
      <c r="D16"/>
      <c r="E16"/>
      <c r="F16"/>
      <c r="G16"/>
      <c r="H16"/>
      <c r="I16"/>
      <c r="J16"/>
      <c r="K16"/>
    </row>
    <row r="17" spans="1:11" ht="14.4" x14ac:dyDescent="0.3">
      <c r="A17"/>
      <c r="B17"/>
      <c r="C17"/>
      <c r="D17"/>
      <c r="E17"/>
      <c r="F17"/>
      <c r="G17"/>
      <c r="H17"/>
      <c r="I17"/>
      <c r="J17"/>
      <c r="K17"/>
    </row>
    <row r="18" spans="1:11" ht="14.4" x14ac:dyDescent="0.3">
      <c r="A18"/>
      <c r="B18"/>
      <c r="C18"/>
      <c r="D18"/>
      <c r="E18"/>
      <c r="F18"/>
      <c r="G18"/>
      <c r="H18"/>
      <c r="I18"/>
      <c r="J18"/>
      <c r="K18"/>
    </row>
    <row r="19" spans="1:11" ht="14.4" x14ac:dyDescent="0.3">
      <c r="A19"/>
      <c r="B19"/>
      <c r="C19"/>
      <c r="D19"/>
      <c r="E19"/>
      <c r="F19"/>
      <c r="G19"/>
      <c r="H19"/>
      <c r="I19"/>
      <c r="J19"/>
      <c r="K19"/>
    </row>
    <row r="20" spans="1:11" ht="14.4" x14ac:dyDescent="0.3">
      <c r="A20"/>
      <c r="B20"/>
      <c r="C20"/>
      <c r="D20"/>
      <c r="E20"/>
      <c r="F20"/>
      <c r="G20"/>
      <c r="H20"/>
      <c r="I20"/>
      <c r="J20"/>
      <c r="K20"/>
    </row>
    <row r="21" spans="1:11" ht="14.4" x14ac:dyDescent="0.3">
      <c r="A21"/>
      <c r="B21"/>
      <c r="C21"/>
      <c r="D21"/>
      <c r="E21"/>
      <c r="F21"/>
      <c r="G21"/>
      <c r="H21"/>
      <c r="I21"/>
      <c r="J21"/>
      <c r="K21"/>
    </row>
    <row r="22" spans="1:11" ht="14.4" x14ac:dyDescent="0.3">
      <c r="A22"/>
      <c r="B22"/>
      <c r="C22"/>
      <c r="D22"/>
      <c r="E22"/>
      <c r="F22"/>
      <c r="G22"/>
      <c r="H22"/>
      <c r="I22"/>
      <c r="J22"/>
      <c r="K22"/>
    </row>
    <row r="23" spans="1:11" ht="14.4" x14ac:dyDescent="0.3">
      <c r="A23"/>
      <c r="B23"/>
      <c r="C23"/>
      <c r="D23"/>
      <c r="E23"/>
      <c r="F23"/>
      <c r="G23"/>
      <c r="H23"/>
      <c r="I23"/>
      <c r="J23"/>
      <c r="K23"/>
    </row>
    <row r="24" spans="1:11" ht="14.4" x14ac:dyDescent="0.3">
      <c r="A24"/>
      <c r="B24"/>
      <c r="C24"/>
      <c r="D24"/>
      <c r="E24"/>
      <c r="F24"/>
      <c r="G24"/>
      <c r="H24"/>
      <c r="I24"/>
      <c r="J24"/>
      <c r="K24"/>
    </row>
    <row r="25" spans="1:11" ht="14.4" x14ac:dyDescent="0.3">
      <c r="A25"/>
      <c r="B25"/>
      <c r="C25"/>
      <c r="D25"/>
      <c r="E25"/>
      <c r="F25"/>
      <c r="G25"/>
      <c r="H25"/>
      <c r="I25"/>
      <c r="J25"/>
      <c r="K25"/>
    </row>
    <row r="26" spans="1:11" ht="14.4" x14ac:dyDescent="0.3">
      <c r="A26"/>
      <c r="B26"/>
      <c r="C26"/>
      <c r="D26"/>
      <c r="E26"/>
      <c r="F26"/>
      <c r="G26"/>
      <c r="H26"/>
      <c r="I26"/>
      <c r="J26"/>
      <c r="K26"/>
    </row>
    <row r="27" spans="1:11" ht="14.4" x14ac:dyDescent="0.3">
      <c r="A27"/>
      <c r="B27"/>
      <c r="C27"/>
      <c r="D27"/>
      <c r="E27"/>
      <c r="F27"/>
      <c r="G27"/>
      <c r="H27"/>
      <c r="I27"/>
      <c r="J27"/>
      <c r="K27"/>
    </row>
    <row r="28" spans="1:11" ht="14.4" x14ac:dyDescent="0.3">
      <c r="A28"/>
      <c r="B28"/>
      <c r="C28"/>
      <c r="D28"/>
      <c r="E28"/>
      <c r="F28"/>
      <c r="G28"/>
      <c r="H28"/>
      <c r="I28"/>
      <c r="J28"/>
      <c r="K28"/>
    </row>
    <row r="29" spans="1:11" ht="14.4" x14ac:dyDescent="0.3">
      <c r="A29"/>
      <c r="B29"/>
      <c r="C29"/>
      <c r="D29"/>
      <c r="E29"/>
      <c r="F29"/>
      <c r="G29"/>
      <c r="H29"/>
      <c r="I29"/>
      <c r="J29"/>
      <c r="K29"/>
    </row>
    <row r="30" spans="1:11" ht="14.4" x14ac:dyDescent="0.3">
      <c r="A30"/>
      <c r="B30"/>
      <c r="C30"/>
      <c r="D30"/>
      <c r="E30"/>
      <c r="F30"/>
      <c r="G30"/>
      <c r="H30"/>
      <c r="I30"/>
      <c r="J30"/>
      <c r="K30"/>
    </row>
    <row r="31" spans="1:11" ht="14.4" x14ac:dyDescent="0.3">
      <c r="A31"/>
      <c r="B31"/>
      <c r="C31"/>
      <c r="D31"/>
      <c r="E31"/>
      <c r="F31"/>
      <c r="G31"/>
      <c r="H31"/>
      <c r="I31"/>
      <c r="J31"/>
      <c r="K31"/>
    </row>
    <row r="32" spans="1:11" ht="14.4" x14ac:dyDescent="0.3">
      <c r="A32"/>
      <c r="B32"/>
      <c r="C32"/>
      <c r="D32"/>
      <c r="E32"/>
      <c r="F32"/>
      <c r="G32"/>
      <c r="H32"/>
      <c r="I32"/>
      <c r="J32"/>
      <c r="K32"/>
    </row>
    <row r="33" spans="1:11" ht="14.4" x14ac:dyDescent="0.3">
      <c r="A33"/>
      <c r="B33"/>
      <c r="C33"/>
      <c r="D33"/>
      <c r="E33"/>
      <c r="F33"/>
      <c r="G33"/>
      <c r="H33"/>
      <c r="I33"/>
      <c r="J33"/>
      <c r="K33"/>
    </row>
    <row r="34" spans="1:11" ht="14.4" x14ac:dyDescent="0.3">
      <c r="A34"/>
      <c r="B34"/>
      <c r="C34"/>
      <c r="D34"/>
      <c r="E34"/>
      <c r="F34"/>
      <c r="G34"/>
      <c r="H34"/>
      <c r="I34"/>
      <c r="J34"/>
      <c r="K34"/>
    </row>
    <row r="35" spans="1:11" ht="14.4" x14ac:dyDescent="0.3">
      <c r="A35"/>
      <c r="B35"/>
      <c r="C35"/>
      <c r="D35"/>
      <c r="E35"/>
      <c r="F35"/>
      <c r="G35"/>
      <c r="H35"/>
      <c r="I35"/>
      <c r="J35"/>
      <c r="K35"/>
    </row>
    <row r="36" spans="1:11" ht="14.4" x14ac:dyDescent="0.3">
      <c r="A36"/>
      <c r="B36"/>
      <c r="C36"/>
      <c r="D36"/>
      <c r="E36"/>
      <c r="F36"/>
      <c r="G36"/>
      <c r="H36"/>
      <c r="I36"/>
      <c r="J36"/>
      <c r="K36"/>
    </row>
    <row r="37" spans="1:11" ht="14.4" x14ac:dyDescent="0.3">
      <c r="A37"/>
      <c r="B37"/>
      <c r="C37"/>
      <c r="D37"/>
      <c r="E37"/>
      <c r="F37"/>
      <c r="G37"/>
      <c r="H37"/>
      <c r="I37"/>
      <c r="J37"/>
      <c r="K37"/>
    </row>
    <row r="38" spans="1:11" ht="14.4" x14ac:dyDescent="0.3">
      <c r="A38"/>
      <c r="B38"/>
      <c r="C38"/>
      <c r="D38"/>
      <c r="E38"/>
      <c r="F38"/>
      <c r="G38"/>
      <c r="H38"/>
      <c r="I38"/>
      <c r="J38"/>
      <c r="K38"/>
    </row>
    <row r="39" spans="1:11" ht="14.4" x14ac:dyDescent="0.3">
      <c r="A39"/>
      <c r="B39"/>
      <c r="C39"/>
      <c r="D39"/>
      <c r="E39"/>
      <c r="F39"/>
      <c r="G39"/>
      <c r="H39"/>
      <c r="I39"/>
      <c r="J39"/>
      <c r="K39"/>
    </row>
    <row r="40" spans="1:11" ht="14.4" x14ac:dyDescent="0.3">
      <c r="A40"/>
      <c r="B40"/>
      <c r="C40"/>
      <c r="D40"/>
      <c r="E40"/>
      <c r="F40"/>
      <c r="G40"/>
      <c r="H40"/>
      <c r="I40"/>
      <c r="J40"/>
      <c r="K40"/>
    </row>
    <row r="41" spans="1:11" ht="14.4" x14ac:dyDescent="0.3">
      <c r="A41"/>
      <c r="B41"/>
      <c r="C41"/>
      <c r="D41"/>
      <c r="E41"/>
      <c r="F41"/>
      <c r="G41"/>
      <c r="H41"/>
      <c r="I41"/>
      <c r="J41"/>
      <c r="K41"/>
    </row>
    <row r="42" spans="1:11" ht="14.4" x14ac:dyDescent="0.3">
      <c r="A42"/>
      <c r="B42"/>
      <c r="C42"/>
      <c r="D42"/>
      <c r="E42"/>
      <c r="F42"/>
      <c r="G42"/>
      <c r="H42"/>
      <c r="I42"/>
      <c r="J42"/>
      <c r="K42"/>
    </row>
    <row r="43" spans="1:11" ht="14.4" x14ac:dyDescent="0.3">
      <c r="A43"/>
      <c r="B43"/>
      <c r="C43"/>
      <c r="D43"/>
      <c r="E43"/>
      <c r="F43"/>
      <c r="G43"/>
      <c r="H43"/>
      <c r="I43"/>
      <c r="J43"/>
      <c r="K43"/>
    </row>
    <row r="44" spans="1:11" ht="14.4" x14ac:dyDescent="0.3">
      <c r="A44"/>
      <c r="B44"/>
      <c r="C44"/>
      <c r="D44"/>
      <c r="E44"/>
      <c r="F44"/>
      <c r="G44"/>
      <c r="H44"/>
      <c r="I44"/>
      <c r="J44"/>
      <c r="K44"/>
    </row>
    <row r="45" spans="1:11" ht="14.4" x14ac:dyDescent="0.3">
      <c r="A45"/>
      <c r="B45"/>
      <c r="C45"/>
      <c r="D45"/>
      <c r="E45"/>
      <c r="F45"/>
      <c r="G45"/>
      <c r="H45"/>
      <c r="I45"/>
      <c r="J45"/>
      <c r="K45"/>
    </row>
    <row r="46" spans="1:11" ht="14.4" x14ac:dyDescent="0.3">
      <c r="A46"/>
      <c r="B46"/>
      <c r="C46"/>
      <c r="D46"/>
      <c r="E46"/>
      <c r="F46"/>
      <c r="G46"/>
      <c r="H46"/>
      <c r="I46"/>
      <c r="J46"/>
      <c r="K46"/>
    </row>
    <row r="47" spans="1:11" ht="14.4" x14ac:dyDescent="0.3">
      <c r="A47"/>
      <c r="B47"/>
      <c r="C47"/>
      <c r="D47"/>
      <c r="E47"/>
      <c r="F47"/>
      <c r="G47"/>
      <c r="H47"/>
      <c r="I47"/>
      <c r="J47"/>
      <c r="K47"/>
    </row>
    <row r="48" spans="1:11" ht="14.4" x14ac:dyDescent="0.3">
      <c r="A48"/>
      <c r="B48"/>
      <c r="C48"/>
      <c r="D48"/>
      <c r="E48"/>
      <c r="F48"/>
      <c r="G48"/>
      <c r="H48"/>
      <c r="I48"/>
      <c r="J48"/>
      <c r="K48"/>
    </row>
    <row r="49" spans="1:11" ht="14.4" x14ac:dyDescent="0.3">
      <c r="A49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/>
      <c r="B64"/>
      <c r="C64"/>
      <c r="D64"/>
      <c r="E64"/>
      <c r="F64"/>
      <c r="G64"/>
      <c r="H64"/>
      <c r="I64"/>
      <c r="J64"/>
      <c r="K64"/>
    </row>
    <row r="65" spans="1:11" ht="14.4" x14ac:dyDescent="0.3">
      <c r="A65"/>
      <c r="B65"/>
      <c r="C65"/>
      <c r="D65"/>
      <c r="E65"/>
      <c r="F65"/>
      <c r="G65"/>
      <c r="H65"/>
      <c r="I65"/>
      <c r="J65"/>
      <c r="K65"/>
    </row>
    <row r="66" spans="1:11" ht="14.4" x14ac:dyDescent="0.3">
      <c r="A66"/>
      <c r="B66"/>
      <c r="C66"/>
      <c r="D66"/>
      <c r="E66"/>
      <c r="F66"/>
      <c r="G66"/>
      <c r="H66"/>
      <c r="I66"/>
      <c r="J66"/>
      <c r="K66"/>
    </row>
    <row r="67" spans="1:11" ht="14.4" x14ac:dyDescent="0.3">
      <c r="A67"/>
      <c r="B67"/>
      <c r="C67"/>
      <c r="D67"/>
      <c r="E67"/>
      <c r="F67"/>
      <c r="G67"/>
      <c r="H67"/>
      <c r="I67"/>
      <c r="J67"/>
      <c r="K67"/>
    </row>
    <row r="68" spans="1:11" ht="14.4" x14ac:dyDescent="0.3">
      <c r="A68"/>
      <c r="B68"/>
      <c r="C68"/>
      <c r="D68"/>
      <c r="E68"/>
      <c r="F68"/>
      <c r="G68"/>
      <c r="H68"/>
      <c r="I68"/>
      <c r="J68"/>
      <c r="K68"/>
    </row>
    <row r="69" spans="1:11" ht="14.4" x14ac:dyDescent="0.3">
      <c r="A69"/>
      <c r="B69"/>
      <c r="C69"/>
      <c r="D69"/>
      <c r="E69"/>
      <c r="F69"/>
      <c r="G69"/>
      <c r="H69"/>
      <c r="I69"/>
      <c r="J69"/>
      <c r="K69"/>
    </row>
    <row r="70" spans="1:11" ht="14.4" x14ac:dyDescent="0.3">
      <c r="A70"/>
      <c r="B70"/>
      <c r="C70"/>
      <c r="D70"/>
      <c r="E70"/>
      <c r="F70"/>
      <c r="G70"/>
      <c r="H70"/>
      <c r="I70"/>
      <c r="J70"/>
      <c r="K70"/>
    </row>
    <row r="71" spans="1:11" ht="14.4" x14ac:dyDescent="0.3">
      <c r="A71"/>
      <c r="B71"/>
      <c r="C71"/>
      <c r="D71"/>
      <c r="E71"/>
      <c r="F71"/>
      <c r="G71"/>
      <c r="H71"/>
      <c r="I71"/>
      <c r="J71"/>
      <c r="K71"/>
    </row>
    <row r="72" spans="1:11" ht="14.4" x14ac:dyDescent="0.3">
      <c r="A72"/>
      <c r="B72"/>
      <c r="C72"/>
      <c r="D72"/>
      <c r="E72"/>
      <c r="F72"/>
      <c r="G72"/>
      <c r="H72"/>
      <c r="I72"/>
      <c r="J72"/>
      <c r="K72"/>
    </row>
    <row r="73" spans="1:11" ht="14.4" x14ac:dyDescent="0.3">
      <c r="A73"/>
      <c r="B73"/>
      <c r="C73"/>
      <c r="D73"/>
      <c r="E73"/>
      <c r="F73"/>
      <c r="G73"/>
      <c r="H73"/>
      <c r="I73"/>
      <c r="J73"/>
      <c r="K73"/>
    </row>
    <row r="74" spans="1:11" ht="14.4" x14ac:dyDescent="0.3">
      <c r="A74"/>
      <c r="B74"/>
      <c r="C74"/>
      <c r="D74"/>
      <c r="E74"/>
      <c r="F74"/>
      <c r="G74"/>
      <c r="H74"/>
      <c r="I74"/>
      <c r="J74"/>
      <c r="K74"/>
    </row>
    <row r="75" spans="1:11" ht="14.4" x14ac:dyDescent="0.3">
      <c r="A75"/>
      <c r="B75"/>
      <c r="C75"/>
      <c r="D75"/>
      <c r="E75"/>
      <c r="F75"/>
      <c r="G75"/>
      <c r="H75"/>
      <c r="I75"/>
      <c r="J75"/>
      <c r="K75"/>
    </row>
    <row r="76" spans="1:11" ht="14.4" x14ac:dyDescent="0.3">
      <c r="A76"/>
      <c r="B76"/>
      <c r="C76"/>
      <c r="D76"/>
      <c r="E76"/>
      <c r="F76"/>
      <c r="G76"/>
      <c r="H76"/>
      <c r="I76"/>
      <c r="J76"/>
      <c r="K76"/>
    </row>
    <row r="77" spans="1:11" ht="14.4" x14ac:dyDescent="0.3">
      <c r="A77"/>
      <c r="B77"/>
      <c r="C77"/>
      <c r="D77"/>
      <c r="E77"/>
      <c r="F77"/>
      <c r="G77"/>
      <c r="H77"/>
      <c r="I77"/>
      <c r="J77"/>
      <c r="K77"/>
    </row>
    <row r="78" spans="1:11" ht="14.4" x14ac:dyDescent="0.3">
      <c r="A78"/>
      <c r="B78"/>
      <c r="C78"/>
      <c r="D78"/>
      <c r="E78"/>
      <c r="F78"/>
      <c r="G78"/>
      <c r="H78"/>
      <c r="I78"/>
      <c r="J78"/>
      <c r="K78"/>
    </row>
    <row r="79" spans="1:11" ht="14.4" x14ac:dyDescent="0.3">
      <c r="A79"/>
      <c r="B79"/>
      <c r="C79"/>
      <c r="D79"/>
      <c r="E79"/>
      <c r="F79"/>
      <c r="G79"/>
      <c r="H79"/>
      <c r="I79"/>
      <c r="J79"/>
      <c r="K79"/>
    </row>
    <row r="80" spans="1:11" ht="14.4" x14ac:dyDescent="0.3">
      <c r="A80"/>
      <c r="B80"/>
      <c r="C80"/>
      <c r="D80"/>
      <c r="E80"/>
      <c r="F80"/>
      <c r="G80"/>
      <c r="H80"/>
      <c r="I80"/>
      <c r="J80"/>
      <c r="K80"/>
    </row>
    <row r="81" spans="1:11" ht="14.4" x14ac:dyDescent="0.3">
      <c r="A81"/>
      <c r="B81"/>
      <c r="C81"/>
      <c r="D81"/>
      <c r="E81"/>
      <c r="F81"/>
      <c r="G81"/>
      <c r="H81"/>
      <c r="I81"/>
      <c r="J81"/>
      <c r="K81"/>
    </row>
    <row r="82" spans="1:11" ht="14.4" x14ac:dyDescent="0.3">
      <c r="A82"/>
      <c r="B82"/>
      <c r="C82"/>
      <c r="D82"/>
      <c r="E82"/>
      <c r="F82"/>
      <c r="G82"/>
      <c r="H82"/>
      <c r="I82"/>
      <c r="J82"/>
      <c r="K82"/>
    </row>
    <row r="83" spans="1:11" ht="15" thickBot="1" x14ac:dyDescent="0.35">
      <c r="A83"/>
      <c r="B83"/>
      <c r="C83"/>
      <c r="D83"/>
      <c r="E83"/>
      <c r="F83"/>
      <c r="G83"/>
      <c r="H83"/>
      <c r="I83"/>
      <c r="J83"/>
      <c r="K83"/>
    </row>
    <row r="84" spans="1:11" ht="15" thickTop="1" x14ac:dyDescent="0.3">
      <c r="A84"/>
      <c r="B84"/>
      <c r="C84"/>
      <c r="D84"/>
      <c r="E84"/>
      <c r="F84"/>
      <c r="G84"/>
      <c r="H84"/>
      <c r="I84"/>
      <c r="J84"/>
      <c r="K84"/>
    </row>
    <row r="85" spans="1:11" ht="14.4" x14ac:dyDescent="0.3">
      <c r="A85"/>
      <c r="B85"/>
      <c r="C85"/>
      <c r="D85"/>
      <c r="E85"/>
      <c r="F85"/>
      <c r="G85"/>
      <c r="H85"/>
      <c r="I85"/>
      <c r="J85"/>
      <c r="K85"/>
    </row>
    <row r="86" spans="1:11" ht="14.4" x14ac:dyDescent="0.3">
      <c r="A86"/>
      <c r="B86"/>
      <c r="C86"/>
      <c r="D86"/>
      <c r="E86"/>
      <c r="F86"/>
      <c r="G86"/>
      <c r="H86"/>
      <c r="I86"/>
      <c r="J86"/>
      <c r="K86"/>
    </row>
    <row r="87" spans="1:11" ht="14.4" x14ac:dyDescent="0.3">
      <c r="A87"/>
      <c r="B87"/>
      <c r="C87"/>
      <c r="D87"/>
      <c r="E87"/>
      <c r="F87"/>
      <c r="G87"/>
      <c r="H87"/>
      <c r="I87"/>
      <c r="J87"/>
      <c r="K87"/>
    </row>
    <row r="88" spans="1:11" ht="14.4" x14ac:dyDescent="0.3">
      <c r="A88"/>
      <c r="B88"/>
      <c r="C88"/>
      <c r="D88"/>
      <c r="E88"/>
      <c r="F88"/>
      <c r="G88"/>
      <c r="H88"/>
      <c r="I88"/>
      <c r="J88"/>
      <c r="K88"/>
    </row>
    <row r="89" spans="1:11" ht="14.4" x14ac:dyDescent="0.3">
      <c r="A89"/>
      <c r="B89"/>
      <c r="C89"/>
      <c r="D89"/>
      <c r="E89"/>
      <c r="F89"/>
      <c r="G89"/>
      <c r="H89"/>
      <c r="I89"/>
      <c r="J89"/>
      <c r="K89"/>
    </row>
    <row r="90" spans="1:11" ht="14.4" x14ac:dyDescent="0.3">
      <c r="A90"/>
      <c r="B90"/>
      <c r="C90"/>
      <c r="D90"/>
      <c r="E90"/>
      <c r="F90"/>
      <c r="G90"/>
      <c r="H90"/>
      <c r="I90"/>
      <c r="J90"/>
      <c r="K90"/>
    </row>
    <row r="91" spans="1:11" ht="14.4" x14ac:dyDescent="0.3">
      <c r="A91"/>
      <c r="B91"/>
      <c r="C91"/>
      <c r="D91"/>
      <c r="E91"/>
      <c r="F91"/>
      <c r="G91"/>
      <c r="H91"/>
      <c r="I91"/>
      <c r="J91"/>
      <c r="K91"/>
    </row>
    <row r="92" spans="1:11" ht="14.4" x14ac:dyDescent="0.3">
      <c r="A92"/>
      <c r="B92"/>
      <c r="C92"/>
      <c r="D92"/>
      <c r="E92"/>
      <c r="F92"/>
      <c r="G92"/>
      <c r="H92"/>
      <c r="I92"/>
      <c r="J92"/>
      <c r="K92"/>
    </row>
    <row r="93" spans="1:11" ht="14.4" x14ac:dyDescent="0.3">
      <c r="A93"/>
      <c r="B93"/>
      <c r="C93"/>
      <c r="D93"/>
      <c r="E93"/>
      <c r="F93"/>
      <c r="G93"/>
      <c r="H93"/>
      <c r="I93"/>
      <c r="J93"/>
      <c r="K93"/>
    </row>
    <row r="94" spans="1:11" ht="14.4" x14ac:dyDescent="0.3">
      <c r="A94"/>
      <c r="B94"/>
      <c r="C94"/>
      <c r="D94"/>
      <c r="E94"/>
      <c r="F94"/>
      <c r="G94"/>
      <c r="H94"/>
      <c r="I94"/>
      <c r="J94"/>
      <c r="K94"/>
    </row>
    <row r="95" spans="1:11" ht="14.4" x14ac:dyDescent="0.3">
      <c r="A95"/>
      <c r="B95"/>
      <c r="C95"/>
      <c r="D95"/>
      <c r="E95"/>
      <c r="F95"/>
      <c r="G95"/>
      <c r="H95"/>
      <c r="I95"/>
      <c r="J95"/>
      <c r="K95"/>
    </row>
    <row r="96" spans="1:11" ht="14.4" x14ac:dyDescent="0.3">
      <c r="A96"/>
      <c r="B96"/>
      <c r="C96"/>
      <c r="D96"/>
      <c r="E96"/>
      <c r="F96"/>
      <c r="G96"/>
      <c r="H96"/>
      <c r="I96"/>
      <c r="J96"/>
      <c r="K96"/>
    </row>
    <row r="97" spans="1:11" ht="14.4" x14ac:dyDescent="0.3">
      <c r="A97"/>
      <c r="B97"/>
      <c r="C97"/>
      <c r="D97"/>
      <c r="E97"/>
      <c r="F97"/>
      <c r="G97"/>
      <c r="H97"/>
      <c r="I97"/>
      <c r="J97"/>
      <c r="K97"/>
    </row>
    <row r="98" spans="1:11" ht="14.4" x14ac:dyDescent="0.3">
      <c r="A98"/>
      <c r="B98"/>
      <c r="C98"/>
      <c r="D98"/>
      <c r="E98"/>
      <c r="F98"/>
      <c r="G98"/>
      <c r="H98"/>
      <c r="I98"/>
      <c r="J98"/>
      <c r="K98"/>
    </row>
    <row r="99" spans="1:11" ht="14.4" x14ac:dyDescent="0.3">
      <c r="A99"/>
      <c r="B99"/>
      <c r="C99"/>
      <c r="D99"/>
      <c r="E99"/>
      <c r="F99"/>
      <c r="G99"/>
      <c r="H99"/>
      <c r="I99"/>
      <c r="J99"/>
      <c r="K99"/>
    </row>
    <row r="100" spans="1:11" ht="14.4" x14ac:dyDescent="0.3">
      <c r="A100"/>
      <c r="B100"/>
      <c r="C100"/>
      <c r="D100"/>
      <c r="E100"/>
      <c r="F100"/>
      <c r="G100"/>
      <c r="H100"/>
      <c r="I100"/>
      <c r="J100"/>
      <c r="K100"/>
    </row>
    <row r="101" spans="1:11" ht="14.4" x14ac:dyDescent="0.3">
      <c r="A101"/>
      <c r="B101"/>
      <c r="C101"/>
      <c r="D101"/>
      <c r="E101"/>
      <c r="F101"/>
      <c r="G101"/>
      <c r="H101"/>
      <c r="I101"/>
      <c r="J101"/>
      <c r="K101"/>
    </row>
    <row r="102" spans="1:11" ht="14.4" x14ac:dyDescent="0.3">
      <c r="A102"/>
      <c r="B102"/>
      <c r="C102"/>
      <c r="D102"/>
      <c r="E102"/>
      <c r="F102"/>
      <c r="G102"/>
      <c r="H102"/>
      <c r="I102"/>
      <c r="J102"/>
      <c r="K102"/>
    </row>
    <row r="103" spans="1:11" ht="14.4" x14ac:dyDescent="0.3">
      <c r="A103"/>
      <c r="B103"/>
      <c r="C103"/>
      <c r="D103"/>
      <c r="E103"/>
      <c r="F103"/>
      <c r="G103"/>
      <c r="H103"/>
      <c r="I103"/>
      <c r="J103"/>
      <c r="K103"/>
    </row>
    <row r="104" spans="1:11" ht="14.4" x14ac:dyDescent="0.3">
      <c r="A104"/>
      <c r="B104"/>
      <c r="C104"/>
      <c r="D104"/>
      <c r="E104"/>
      <c r="F104"/>
      <c r="G104"/>
      <c r="H104"/>
      <c r="I104"/>
      <c r="J104"/>
      <c r="K104"/>
    </row>
    <row r="105" spans="1:11" ht="14.4" x14ac:dyDescent="0.3">
      <c r="A105"/>
      <c r="B105"/>
      <c r="C105"/>
      <c r="D105"/>
      <c r="E105"/>
      <c r="F105"/>
      <c r="G105"/>
      <c r="H105"/>
      <c r="I105"/>
      <c r="J105"/>
      <c r="K105"/>
    </row>
    <row r="106" spans="1:11" ht="14.4" x14ac:dyDescent="0.3">
      <c r="A106"/>
      <c r="B106"/>
      <c r="C106"/>
      <c r="D106"/>
      <c r="E106"/>
      <c r="F106"/>
      <c r="G106"/>
      <c r="H106"/>
      <c r="I106"/>
      <c r="J106"/>
      <c r="K106"/>
    </row>
    <row r="107" spans="1:11" ht="14.4" x14ac:dyDescent="0.3">
      <c r="A107"/>
      <c r="B107"/>
      <c r="C107"/>
      <c r="D107"/>
      <c r="E107"/>
      <c r="F107"/>
      <c r="G107"/>
      <c r="H107"/>
      <c r="I107"/>
      <c r="J107"/>
      <c r="K107"/>
    </row>
    <row r="108" spans="1:11" ht="14.4" x14ac:dyDescent="0.3">
      <c r="A108"/>
      <c r="B108"/>
      <c r="C108"/>
      <c r="D108"/>
      <c r="E108"/>
      <c r="F108"/>
      <c r="G108"/>
      <c r="H108"/>
      <c r="I108"/>
      <c r="J108"/>
      <c r="K108"/>
    </row>
    <row r="109" spans="1:11" ht="15" thickBot="1" x14ac:dyDescent="0.35">
      <c r="A109"/>
      <c r="B109"/>
      <c r="C109"/>
      <c r="D109"/>
      <c r="E109"/>
      <c r="F109"/>
      <c r="G109"/>
      <c r="H109"/>
      <c r="I109"/>
      <c r="J109"/>
      <c r="K109"/>
    </row>
    <row r="110" spans="1:11" ht="15" thickTop="1" x14ac:dyDescent="0.3">
      <c r="A110"/>
      <c r="B110"/>
      <c r="C110"/>
      <c r="D110"/>
      <c r="E110"/>
      <c r="F110"/>
      <c r="G110"/>
      <c r="H110"/>
      <c r="I110"/>
      <c r="J110"/>
      <c r="K110"/>
    </row>
    <row r="111" spans="1:11" ht="14.4" x14ac:dyDescent="0.3">
      <c r="A111"/>
      <c r="B111"/>
      <c r="C111"/>
      <c r="D111"/>
      <c r="E111"/>
      <c r="F111"/>
      <c r="G111"/>
      <c r="H111"/>
      <c r="I111"/>
      <c r="J111"/>
      <c r="K111"/>
    </row>
    <row r="112" spans="1:11" ht="14.4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1" ht="14.4" x14ac:dyDescent="0.3">
      <c r="A113"/>
      <c r="B113"/>
      <c r="C113"/>
      <c r="D113"/>
      <c r="E113"/>
      <c r="F113"/>
      <c r="G113"/>
      <c r="H113"/>
      <c r="I113"/>
      <c r="J113"/>
      <c r="K113"/>
    </row>
    <row r="114" spans="1:11" ht="14.4" x14ac:dyDescent="0.3">
      <c r="A114"/>
      <c r="B114"/>
      <c r="C114"/>
      <c r="D114"/>
      <c r="E114"/>
      <c r="F114"/>
      <c r="G114"/>
      <c r="H114"/>
      <c r="I114"/>
      <c r="J114"/>
      <c r="K114"/>
    </row>
    <row r="115" spans="1:11" ht="14.4" x14ac:dyDescent="0.3">
      <c r="A115"/>
      <c r="B115"/>
      <c r="C115"/>
      <c r="D115"/>
      <c r="E115"/>
      <c r="F115"/>
      <c r="G115"/>
      <c r="H115"/>
      <c r="I115"/>
      <c r="J115"/>
      <c r="K115"/>
    </row>
    <row r="116" spans="1:11" ht="14.4" x14ac:dyDescent="0.3">
      <c r="A116"/>
      <c r="B116"/>
      <c r="C116"/>
      <c r="D116"/>
      <c r="E116"/>
      <c r="F116"/>
      <c r="G116"/>
      <c r="H116"/>
      <c r="I116"/>
      <c r="J116"/>
      <c r="K116"/>
    </row>
    <row r="117" spans="1:11" ht="14.4" x14ac:dyDescent="0.3">
      <c r="A117"/>
      <c r="B117"/>
      <c r="C117"/>
      <c r="D117"/>
      <c r="E117"/>
      <c r="F117"/>
      <c r="G117"/>
      <c r="H117"/>
      <c r="I117"/>
      <c r="J117"/>
      <c r="K117"/>
    </row>
    <row r="118" spans="1:11" ht="14.4" x14ac:dyDescent="0.3">
      <c r="A118"/>
      <c r="B118"/>
      <c r="C118"/>
      <c r="D118"/>
      <c r="E118"/>
      <c r="F118"/>
      <c r="G118"/>
      <c r="H118"/>
      <c r="I118"/>
      <c r="J118"/>
      <c r="K118"/>
    </row>
    <row r="119" spans="1:11" ht="14.4" x14ac:dyDescent="0.3">
      <c r="A119"/>
      <c r="B119"/>
      <c r="C119"/>
      <c r="D119"/>
      <c r="E119"/>
      <c r="F119"/>
      <c r="G119"/>
      <c r="H119"/>
      <c r="I119"/>
      <c r="J119"/>
      <c r="K119"/>
    </row>
    <row r="120" spans="1:11" ht="14.4" x14ac:dyDescent="0.3">
      <c r="A120"/>
      <c r="B120"/>
      <c r="C120"/>
      <c r="D120"/>
      <c r="E120"/>
      <c r="F120"/>
      <c r="G120"/>
      <c r="H120"/>
      <c r="I120"/>
      <c r="J120"/>
      <c r="K120"/>
    </row>
    <row r="121" spans="1:11" ht="14.4" x14ac:dyDescent="0.3">
      <c r="A121"/>
      <c r="B121"/>
      <c r="C121"/>
      <c r="D121"/>
      <c r="E121"/>
      <c r="F121"/>
      <c r="G121"/>
      <c r="H121"/>
      <c r="I121"/>
      <c r="J121"/>
      <c r="K121"/>
    </row>
    <row r="122" spans="1:11" ht="14.4" x14ac:dyDescent="0.3">
      <c r="A122"/>
      <c r="B122"/>
      <c r="C122"/>
      <c r="D122"/>
      <c r="E122"/>
      <c r="F122"/>
      <c r="G122"/>
      <c r="H122"/>
      <c r="I122"/>
      <c r="J122"/>
      <c r="K122"/>
    </row>
    <row r="123" spans="1:11" ht="14.4" x14ac:dyDescent="0.3">
      <c r="A123"/>
      <c r="B123"/>
      <c r="C123"/>
      <c r="D123"/>
      <c r="E123"/>
      <c r="F123"/>
      <c r="G123"/>
      <c r="H123"/>
      <c r="I123"/>
      <c r="J123"/>
      <c r="K123"/>
    </row>
    <row r="124" spans="1:11" ht="14.4" x14ac:dyDescent="0.3">
      <c r="A124"/>
      <c r="B124"/>
      <c r="C124"/>
      <c r="D124"/>
      <c r="E124"/>
      <c r="F124"/>
      <c r="G124"/>
      <c r="H124"/>
      <c r="I124"/>
      <c r="J124"/>
      <c r="K124"/>
    </row>
    <row r="125" spans="1:11" ht="14.4" x14ac:dyDescent="0.3">
      <c r="A125"/>
      <c r="B125"/>
      <c r="C125"/>
      <c r="D125"/>
      <c r="E125"/>
      <c r="F125"/>
      <c r="G125"/>
      <c r="H125"/>
      <c r="I125"/>
      <c r="J125"/>
      <c r="K125"/>
    </row>
    <row r="126" spans="1:11" ht="14.4" x14ac:dyDescent="0.3">
      <c r="A126"/>
      <c r="B126"/>
      <c r="C126"/>
      <c r="D126"/>
      <c r="E126"/>
      <c r="F126"/>
      <c r="G126"/>
      <c r="H126"/>
      <c r="I126"/>
      <c r="J126"/>
      <c r="K126"/>
    </row>
    <row r="127" spans="1:11" ht="15" thickBot="1" x14ac:dyDescent="0.35">
      <c r="A127"/>
      <c r="B127"/>
      <c r="C127"/>
      <c r="D127"/>
      <c r="E127"/>
      <c r="F127"/>
      <c r="G127"/>
      <c r="H127"/>
      <c r="I127"/>
      <c r="J127"/>
      <c r="K127"/>
    </row>
    <row r="128" spans="1:11" ht="15" thickTop="1" x14ac:dyDescent="0.3">
      <c r="A128"/>
      <c r="B128"/>
      <c r="C128"/>
      <c r="D128"/>
      <c r="E128"/>
      <c r="F128"/>
      <c r="G128"/>
      <c r="H128"/>
      <c r="I128"/>
      <c r="J128"/>
      <c r="K128"/>
    </row>
    <row r="129" spans="1:11" ht="14.4" x14ac:dyDescent="0.3">
      <c r="A129"/>
      <c r="B129"/>
      <c r="C129"/>
      <c r="D129"/>
      <c r="E129"/>
      <c r="F129"/>
      <c r="G129"/>
      <c r="H129"/>
      <c r="I129"/>
      <c r="J129"/>
      <c r="K129"/>
    </row>
    <row r="130" spans="1:11" ht="14.4" x14ac:dyDescent="0.3">
      <c r="A130"/>
      <c r="B130"/>
      <c r="C130"/>
      <c r="D130"/>
      <c r="E130"/>
      <c r="F130"/>
      <c r="G130"/>
      <c r="H130"/>
      <c r="I130"/>
      <c r="J130"/>
      <c r="K130"/>
    </row>
    <row r="131" spans="1:11" ht="14.4" x14ac:dyDescent="0.3">
      <c r="A131"/>
      <c r="B131"/>
      <c r="C131"/>
      <c r="D131"/>
      <c r="E131"/>
      <c r="F131"/>
      <c r="G131"/>
      <c r="H131"/>
      <c r="I131"/>
      <c r="J131"/>
      <c r="K131"/>
    </row>
    <row r="132" spans="1:11" ht="14.4" x14ac:dyDescent="0.3">
      <c r="A132"/>
      <c r="B132"/>
      <c r="C132"/>
      <c r="D132"/>
      <c r="E132"/>
      <c r="F132"/>
      <c r="G132"/>
      <c r="H132"/>
      <c r="I132"/>
      <c r="J132"/>
      <c r="K132"/>
    </row>
    <row r="133" spans="1:11" ht="14.4" x14ac:dyDescent="0.3">
      <c r="A133"/>
      <c r="B133"/>
      <c r="C133"/>
      <c r="D133"/>
      <c r="E133"/>
      <c r="F133"/>
      <c r="G133"/>
      <c r="H133"/>
      <c r="I133"/>
      <c r="J133"/>
      <c r="K133"/>
    </row>
    <row r="134" spans="1:11" ht="14.4" x14ac:dyDescent="0.3">
      <c r="A134"/>
      <c r="B134"/>
      <c r="C134"/>
      <c r="D134"/>
      <c r="E134"/>
      <c r="F134"/>
      <c r="G134"/>
      <c r="H134"/>
      <c r="I134"/>
      <c r="J134"/>
      <c r="K134"/>
    </row>
    <row r="135" spans="1:11" ht="14.4" x14ac:dyDescent="0.3">
      <c r="A135"/>
      <c r="B135"/>
      <c r="C135"/>
      <c r="D135"/>
      <c r="E135"/>
      <c r="F135"/>
      <c r="G135"/>
      <c r="H135"/>
      <c r="I135"/>
      <c r="J135"/>
      <c r="K135"/>
    </row>
    <row r="136" spans="1:11" ht="14.4" x14ac:dyDescent="0.3">
      <c r="A136"/>
      <c r="B136"/>
      <c r="C136"/>
      <c r="D136"/>
      <c r="E136"/>
      <c r="F136"/>
      <c r="G136"/>
      <c r="H136"/>
      <c r="I136"/>
      <c r="J136"/>
      <c r="K136"/>
    </row>
    <row r="137" spans="1:11" ht="14.4" x14ac:dyDescent="0.3">
      <c r="A137"/>
      <c r="B137"/>
      <c r="C137"/>
      <c r="D137"/>
      <c r="E137"/>
      <c r="F137"/>
      <c r="G137"/>
      <c r="H137"/>
      <c r="I137"/>
      <c r="J137"/>
      <c r="K137"/>
    </row>
    <row r="138" spans="1:11" ht="14.4" x14ac:dyDescent="0.3">
      <c r="A138"/>
      <c r="B138"/>
      <c r="C138"/>
      <c r="D138"/>
      <c r="E138"/>
      <c r="F138"/>
      <c r="G138"/>
      <c r="H138"/>
      <c r="I138"/>
      <c r="J138"/>
      <c r="K138"/>
    </row>
    <row r="139" spans="1:11" ht="14.4" x14ac:dyDescent="0.3">
      <c r="A139"/>
      <c r="B139"/>
      <c r="C139"/>
      <c r="D139"/>
      <c r="E139"/>
      <c r="F139"/>
      <c r="G139"/>
      <c r="H139"/>
      <c r="I139"/>
      <c r="J139"/>
      <c r="K139"/>
    </row>
    <row r="140" spans="1:11" ht="14.4" x14ac:dyDescent="0.3">
      <c r="A140"/>
      <c r="B140"/>
      <c r="C140"/>
      <c r="D140"/>
      <c r="E140"/>
      <c r="F140"/>
      <c r="G140"/>
      <c r="H140"/>
      <c r="I140"/>
      <c r="J140"/>
      <c r="K140"/>
    </row>
    <row r="141" spans="1:11" ht="14.4" x14ac:dyDescent="0.3">
      <c r="A141"/>
      <c r="B141"/>
      <c r="C141"/>
      <c r="D141"/>
      <c r="E141"/>
      <c r="F141"/>
      <c r="G141"/>
      <c r="H141"/>
      <c r="I141"/>
      <c r="J141"/>
      <c r="K141"/>
    </row>
    <row r="142" spans="1:11" ht="14.4" x14ac:dyDescent="0.3">
      <c r="A142"/>
      <c r="B142"/>
      <c r="C142"/>
      <c r="D142"/>
      <c r="E142"/>
      <c r="F142"/>
      <c r="G142"/>
      <c r="H142"/>
      <c r="I142"/>
      <c r="J142"/>
      <c r="K142"/>
    </row>
    <row r="143" spans="1:11" ht="14.4" x14ac:dyDescent="0.3">
      <c r="A143"/>
      <c r="B143"/>
      <c r="C143"/>
      <c r="D143"/>
      <c r="E143"/>
      <c r="F143"/>
      <c r="G143"/>
      <c r="H143"/>
      <c r="I143"/>
      <c r="J143"/>
      <c r="K143"/>
    </row>
    <row r="144" spans="1:11" ht="14.4" x14ac:dyDescent="0.3">
      <c r="A144"/>
      <c r="B144"/>
      <c r="C144"/>
      <c r="D144"/>
      <c r="E144"/>
      <c r="F144"/>
      <c r="G144"/>
      <c r="H144"/>
      <c r="I144"/>
      <c r="J144"/>
      <c r="K144"/>
    </row>
    <row r="145" spans="1:11" ht="14.4" x14ac:dyDescent="0.3">
      <c r="A145"/>
      <c r="B145"/>
      <c r="C145"/>
      <c r="D145"/>
      <c r="E145"/>
      <c r="F145"/>
      <c r="G145"/>
      <c r="H145"/>
      <c r="I145"/>
      <c r="J145"/>
      <c r="K145"/>
    </row>
    <row r="146" spans="1:11" ht="14.4" x14ac:dyDescent="0.3">
      <c r="A146"/>
      <c r="B146"/>
      <c r="C146"/>
      <c r="D146"/>
      <c r="E146"/>
      <c r="F146"/>
      <c r="G146"/>
      <c r="H146"/>
      <c r="I146"/>
      <c r="J146"/>
      <c r="K146"/>
    </row>
    <row r="147" spans="1:11" ht="14.4" x14ac:dyDescent="0.3">
      <c r="A147"/>
      <c r="B147"/>
      <c r="C147"/>
      <c r="D147"/>
      <c r="E147"/>
      <c r="F147"/>
      <c r="G147"/>
      <c r="H147"/>
      <c r="I147"/>
      <c r="J147"/>
      <c r="K147"/>
    </row>
    <row r="148" spans="1:11" ht="14.4" x14ac:dyDescent="0.3">
      <c r="A148"/>
      <c r="B148"/>
      <c r="C148"/>
      <c r="D148"/>
      <c r="E148"/>
      <c r="F148"/>
      <c r="G148"/>
      <c r="H148"/>
      <c r="I148"/>
      <c r="J148"/>
      <c r="K148"/>
    </row>
    <row r="149" spans="1:11" ht="14.4" x14ac:dyDescent="0.3">
      <c r="A149"/>
      <c r="B149"/>
      <c r="C149"/>
      <c r="D149"/>
      <c r="E149"/>
      <c r="F149"/>
      <c r="G149"/>
      <c r="H149"/>
      <c r="I149"/>
      <c r="J149"/>
      <c r="K149"/>
    </row>
    <row r="150" spans="1:11" ht="14.4" x14ac:dyDescent="0.3">
      <c r="A150"/>
      <c r="B150"/>
      <c r="C150"/>
      <c r="D150"/>
      <c r="E150"/>
      <c r="F150"/>
      <c r="G150"/>
      <c r="H150"/>
      <c r="I150"/>
      <c r="J150"/>
      <c r="K150"/>
    </row>
    <row r="151" spans="1:11" ht="14.4" x14ac:dyDescent="0.3">
      <c r="A151"/>
      <c r="B151"/>
      <c r="C151"/>
      <c r="D151"/>
      <c r="E151"/>
      <c r="F151"/>
      <c r="G151"/>
      <c r="H151"/>
      <c r="I151"/>
      <c r="J151"/>
      <c r="K151"/>
    </row>
    <row r="152" spans="1:11" ht="14.4" x14ac:dyDescent="0.3">
      <c r="A152"/>
      <c r="B152"/>
      <c r="C152"/>
      <c r="D152"/>
      <c r="E152"/>
      <c r="F152"/>
      <c r="G152"/>
      <c r="H152"/>
      <c r="I152"/>
      <c r="J152"/>
      <c r="K152"/>
    </row>
    <row r="153" spans="1:11" ht="14.4" x14ac:dyDescent="0.3">
      <c r="A153"/>
      <c r="B153"/>
      <c r="C153"/>
      <c r="D153"/>
      <c r="E153"/>
      <c r="F153"/>
      <c r="G153"/>
      <c r="H153"/>
      <c r="I153"/>
      <c r="J153"/>
      <c r="K153"/>
    </row>
    <row r="154" spans="1:11" ht="14.4" x14ac:dyDescent="0.3">
      <c r="A154"/>
      <c r="B154"/>
      <c r="C154"/>
      <c r="D154"/>
      <c r="E154"/>
      <c r="F154"/>
      <c r="G154"/>
      <c r="H154"/>
      <c r="I154"/>
      <c r="J154"/>
      <c r="K154"/>
    </row>
    <row r="155" spans="1:11" ht="14.4" x14ac:dyDescent="0.3">
      <c r="A155"/>
      <c r="B155"/>
      <c r="C155"/>
      <c r="D155"/>
      <c r="E155"/>
      <c r="F155"/>
      <c r="G155"/>
      <c r="H155"/>
      <c r="I155"/>
      <c r="J155"/>
      <c r="K155"/>
    </row>
    <row r="156" spans="1:11" ht="14.4" x14ac:dyDescent="0.3">
      <c r="A156"/>
      <c r="B156"/>
      <c r="C156"/>
      <c r="D156"/>
      <c r="E156"/>
      <c r="F156"/>
      <c r="G156"/>
      <c r="H156"/>
      <c r="I156"/>
      <c r="J156"/>
      <c r="K156"/>
    </row>
    <row r="157" spans="1:11" ht="14.4" x14ac:dyDescent="0.3">
      <c r="A157"/>
      <c r="B157"/>
      <c r="C157"/>
      <c r="D157"/>
      <c r="E157"/>
      <c r="F157"/>
      <c r="G157"/>
      <c r="H157"/>
      <c r="I157"/>
      <c r="J157"/>
      <c r="K157"/>
    </row>
    <row r="158" spans="1:11" ht="14.4" x14ac:dyDescent="0.3">
      <c r="A158"/>
      <c r="B158"/>
      <c r="C158"/>
      <c r="D158"/>
      <c r="E158"/>
      <c r="F158"/>
      <c r="G158"/>
      <c r="H158"/>
      <c r="I158"/>
      <c r="J158"/>
      <c r="K158"/>
    </row>
    <row r="159" spans="1:11" ht="14.4" x14ac:dyDescent="0.3">
      <c r="A159"/>
      <c r="B159"/>
      <c r="C159"/>
      <c r="D159"/>
      <c r="E159"/>
      <c r="F159"/>
      <c r="G159"/>
      <c r="H159"/>
      <c r="I159"/>
      <c r="J159"/>
      <c r="K159"/>
    </row>
    <row r="160" spans="1:11" ht="14.4" x14ac:dyDescent="0.3">
      <c r="A160"/>
      <c r="B160"/>
      <c r="C160"/>
      <c r="D160"/>
      <c r="E160"/>
      <c r="F160"/>
      <c r="G160"/>
      <c r="H160"/>
      <c r="I160"/>
      <c r="J160"/>
      <c r="K160"/>
    </row>
    <row r="161" spans="1:11" ht="14.4" x14ac:dyDescent="0.3">
      <c r="A161"/>
      <c r="B161"/>
      <c r="C161"/>
      <c r="D161"/>
      <c r="E161"/>
      <c r="F161"/>
      <c r="G161"/>
      <c r="H161"/>
      <c r="I161"/>
      <c r="J161"/>
      <c r="K161"/>
    </row>
    <row r="162" spans="1:11" ht="14.4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ht="14.4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ht="14.4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ht="14.4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ht="14.4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ht="14.4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ht="14.4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ht="14.4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ht="14.4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ht="14.4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ht="14.4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ht="14.4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ht="14.4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ht="14.4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ht="14.4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ht="14.4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ht="14.4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ht="14.4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ht="14.4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ht="14.4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ht="14.4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ht="14.4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ht="14.4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ht="14.4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ht="14.4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ht="14.4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ht="15" thickBot="1" x14ac:dyDescent="0.35">
      <c r="A188"/>
      <c r="B188"/>
      <c r="C188"/>
      <c r="D188"/>
      <c r="E188"/>
      <c r="F188"/>
      <c r="G188"/>
      <c r="H188"/>
      <c r="I188"/>
      <c r="J188"/>
      <c r="K188"/>
    </row>
    <row r="189" spans="1:11" ht="15" thickTop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ht="14.4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ht="14.4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ht="14.4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ht="14.4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ht="14.4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ht="14.4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ht="14.4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ht="14.4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ht="14.4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ht="14.4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ht="14.4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ht="14.4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ht="14.4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ht="14.4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ht="14.4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ht="14.4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ht="14.4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ht="14.4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ht="14.4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ht="14.4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ht="14.4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ht="14.4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ht="14.4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ht="14.4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ht="14.4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ht="14.4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ht="14.4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ht="14.4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ht="15" thickBot="1" x14ac:dyDescent="0.35">
      <c r="A218"/>
      <c r="B218"/>
      <c r="C218"/>
      <c r="D218"/>
      <c r="E218"/>
      <c r="F218"/>
      <c r="G218"/>
      <c r="H218"/>
      <c r="I218"/>
      <c r="J218"/>
      <c r="K218"/>
    </row>
    <row r="219" spans="1:11" ht="15" thickTop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ht="14.4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ht="14.4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ht="14.4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ht="15" thickBot="1" x14ac:dyDescent="0.35">
      <c r="A223"/>
      <c r="B223"/>
      <c r="C223"/>
      <c r="D223"/>
      <c r="E223"/>
      <c r="F223"/>
      <c r="G223"/>
      <c r="H223"/>
      <c r="I223"/>
      <c r="J223"/>
      <c r="K223"/>
    </row>
    <row r="224" spans="1:11" ht="15" thickTop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ht="14.4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ht="14.4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ht="14.4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ht="14.4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ht="14.4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ht="14.4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ht="14.4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ht="14.4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ht="14.4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ht="14.4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ht="14.4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ht="14.4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ht="14.4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ht="14.4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ht="14.4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ht="14.4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ht="15" thickBot="1" x14ac:dyDescent="0.35">
      <c r="A241"/>
      <c r="B241"/>
      <c r="C241"/>
      <c r="D241"/>
      <c r="E241"/>
      <c r="F241"/>
      <c r="G241"/>
      <c r="H241"/>
      <c r="I241"/>
      <c r="J241"/>
      <c r="K241"/>
    </row>
    <row r="242" spans="1:11" ht="15" thickTop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ht="14.4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ht="14.4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ht="14.4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ht="14.4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ht="14.4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ht="14.4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ht="14.4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ht="14.4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ht="14.4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ht="14.4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ht="14.4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ht="14.4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ht="14.4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ht="14.4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ht="14.4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ht="14.4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ht="14.4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ht="14.4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ht="14.4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ht="14.4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ht="14.4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ht="14.4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ht="14.4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ht="14.4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ht="14.4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ht="14.4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ht="14.4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ht="14.4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ht="14.4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ht="14.4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ht="14.4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ht="14.4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ht="14.4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ht="14.4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ht="14.4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ht="14.4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ht="14.4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ht="14.4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ht="14.4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ht="14.4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ht="14.4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ht="14.4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ht="14.4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ht="14.4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ht="14.4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ht="14.4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ht="14.4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ht="14.4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ht="14.4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ht="14.4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ht="14.4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ht="14.4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ht="14.4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ht="14.4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ht="14.4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ht="14.4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ht="14.4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ht="14.4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ht="14.4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ht="14.4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ht="14.4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ht="14.4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ht="14.4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ht="14.4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ht="14.4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ht="15" thickBot="1" x14ac:dyDescent="0.35">
      <c r="A308"/>
      <c r="B308"/>
      <c r="C308"/>
      <c r="D308"/>
      <c r="E308"/>
      <c r="F308"/>
      <c r="G308"/>
      <c r="H308"/>
      <c r="I308"/>
      <c r="J308"/>
      <c r="K308"/>
    </row>
    <row r="309" spans="1:11" ht="15" thickTop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ht="14.4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ht="14.4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ht="14.4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ht="15" thickBot="1" x14ac:dyDescent="0.35">
      <c r="A313"/>
      <c r="B313"/>
      <c r="C313"/>
      <c r="D313"/>
      <c r="E313"/>
      <c r="F313"/>
      <c r="G313"/>
      <c r="H313"/>
      <c r="I313"/>
      <c r="J313"/>
      <c r="K313"/>
    </row>
    <row r="314" spans="1:11" ht="15" thickTop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ht="14.4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ht="14.4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ht="14.4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ht="14.4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ht="14.4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ht="14.4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ht="14.4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ht="14.4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ht="14.4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ht="14.4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ht="14.4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ht="15" thickBot="1" x14ac:dyDescent="0.35">
      <c r="A326"/>
      <c r="B326"/>
      <c r="C326"/>
      <c r="D326"/>
      <c r="E326"/>
      <c r="F326"/>
      <c r="G326"/>
      <c r="H326"/>
      <c r="I326"/>
      <c r="J326"/>
      <c r="K326"/>
    </row>
    <row r="327" spans="1:11" ht="15" thickTop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ht="15" thickBot="1" x14ac:dyDescent="0.35">
      <c r="A328"/>
      <c r="B328"/>
      <c r="C328"/>
      <c r="D328"/>
      <c r="E328"/>
      <c r="F328"/>
      <c r="G328"/>
      <c r="H328"/>
      <c r="I328"/>
      <c r="J328"/>
      <c r="K328"/>
    </row>
    <row r="329" spans="1:11" ht="13.8" thickTop="1" x14ac:dyDescent="0.25"/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>
    <tabColor rgb="FFC00000"/>
    <pageSetUpPr fitToPage="1"/>
  </sheetPr>
  <dimension ref="A1:G28"/>
  <sheetViews>
    <sheetView showGridLines="0" zoomScale="85" zoomScaleNormal="85" workbookViewId="0">
      <pane xSplit="1" ySplit="15" topLeftCell="B16" activePane="bottomRight" state="frozen"/>
      <selection activeCell="B15" sqref="B15"/>
      <selection pane="topRight" activeCell="B15" sqref="B15"/>
      <selection pane="bottomLeft" activeCell="B15" sqref="B15"/>
      <selection pane="bottomRight" activeCell="B16" sqref="B16"/>
    </sheetView>
  </sheetViews>
  <sheetFormatPr defaultColWidth="11.33203125" defaultRowHeight="13.2" x14ac:dyDescent="0.25"/>
  <cols>
    <col min="1" max="1" width="19.109375" style="45" customWidth="1"/>
    <col min="2" max="2" width="10.21875" style="45" customWidth="1"/>
    <col min="3" max="3" width="10.5546875" style="45" customWidth="1"/>
    <col min="4" max="4" width="7.21875" style="45" customWidth="1"/>
    <col min="5" max="5" width="21.44140625" style="45" customWidth="1"/>
    <col min="6" max="16384" width="11.33203125" style="45"/>
  </cols>
  <sheetData>
    <row r="1" spans="1:7" ht="25.8" customHeight="1" x14ac:dyDescent="0.4">
      <c r="A1" s="44"/>
    </row>
    <row r="2" spans="1:7" x14ac:dyDescent="0.25">
      <c r="A2" s="45" t="s">
        <v>317</v>
      </c>
    </row>
    <row r="3" spans="1:7" x14ac:dyDescent="0.25">
      <c r="A3" s="46">
        <f>Updated</f>
        <v>0</v>
      </c>
    </row>
    <row r="4" spans="1:7" x14ac:dyDescent="0.25">
      <c r="A4" s="46"/>
    </row>
    <row r="5" spans="1:7" ht="14.4" x14ac:dyDescent="0.3">
      <c r="A5"/>
      <c r="B5"/>
    </row>
    <row r="6" spans="1:7" ht="14.4" x14ac:dyDescent="0.3">
      <c r="A6"/>
      <c r="B6"/>
    </row>
    <row r="7" spans="1:7" ht="14.4" x14ac:dyDescent="0.3">
      <c r="A7" s="47" t="s">
        <v>297</v>
      </c>
      <c r="B7" s="48" t="s">
        <v>132</v>
      </c>
    </row>
    <row r="8" spans="1:7" ht="14.4" x14ac:dyDescent="0.3">
      <c r="A8" s="47" t="s">
        <v>226</v>
      </c>
      <c r="B8" s="48" t="s">
        <v>132</v>
      </c>
    </row>
    <row r="9" spans="1:7" ht="14.4" x14ac:dyDescent="0.3">
      <c r="A9" s="47" t="s">
        <v>328</v>
      </c>
      <c r="B9" s="48" t="s">
        <v>132</v>
      </c>
    </row>
    <row r="10" spans="1:7" ht="14.4" x14ac:dyDescent="0.3">
      <c r="A10" s="47" t="s">
        <v>324</v>
      </c>
      <c r="B10" s="48" t="s">
        <v>132</v>
      </c>
    </row>
    <row r="11" spans="1:7" ht="14.4" x14ac:dyDescent="0.3">
      <c r="A11" s="47" t="s">
        <v>321</v>
      </c>
      <c r="B11" s="48" t="s">
        <v>132</v>
      </c>
    </row>
    <row r="12" spans="1:7" ht="14.4" x14ac:dyDescent="0.3">
      <c r="A12" s="47" t="s">
        <v>228</v>
      </c>
      <c r="B12" s="48" t="s">
        <v>132</v>
      </c>
    </row>
    <row r="13" spans="1:7" ht="14.4" x14ac:dyDescent="0.3">
      <c r="A13" s="47" t="s">
        <v>264</v>
      </c>
      <c r="B13" s="48" t="s">
        <v>132</v>
      </c>
    </row>
    <row r="14" spans="1:7" x14ac:dyDescent="0.25">
      <c r="A14" s="46"/>
    </row>
    <row r="15" spans="1:7" ht="14.4" x14ac:dyDescent="0.3">
      <c r="A15" s="1" t="s">
        <v>281</v>
      </c>
      <c r="B15" s="52" t="s">
        <v>350</v>
      </c>
      <c r="C15" s="59" t="s">
        <v>351</v>
      </c>
      <c r="D15" s="59" t="s">
        <v>352</v>
      </c>
      <c r="E15" s="57" t="s">
        <v>346</v>
      </c>
      <c r="F15"/>
      <c r="G15"/>
    </row>
    <row r="16" spans="1:7" ht="14.4" x14ac:dyDescent="0.3">
      <c r="A16" s="49" t="s">
        <v>338</v>
      </c>
      <c r="B16" s="74">
        <v>1.31</v>
      </c>
      <c r="C16" s="66">
        <v>0</v>
      </c>
      <c r="D16" s="66">
        <v>0</v>
      </c>
      <c r="E16" s="58">
        <v>3</v>
      </c>
      <c r="F16"/>
      <c r="G16"/>
    </row>
    <row r="17" spans="1:7" ht="15" thickBot="1" x14ac:dyDescent="0.35">
      <c r="A17" s="51" t="s">
        <v>131</v>
      </c>
      <c r="B17" s="67">
        <v>1.31</v>
      </c>
      <c r="C17" s="67">
        <v>0</v>
      </c>
      <c r="D17" s="67">
        <v>0</v>
      </c>
      <c r="E17" s="53">
        <v>3</v>
      </c>
      <c r="F17"/>
      <c r="G17"/>
    </row>
    <row r="18" spans="1:7" ht="15" thickTop="1" x14ac:dyDescent="0.3">
      <c r="A18"/>
      <c r="B18"/>
      <c r="C18"/>
      <c r="D18"/>
      <c r="E18"/>
      <c r="F18"/>
      <c r="G18"/>
    </row>
    <row r="19" spans="1:7" ht="14.4" x14ac:dyDescent="0.3">
      <c r="A19"/>
      <c r="B19"/>
      <c r="C19"/>
      <c r="D19"/>
      <c r="E19"/>
      <c r="F19"/>
      <c r="G19"/>
    </row>
    <row r="20" spans="1:7" ht="14.4" x14ac:dyDescent="0.3">
      <c r="A20"/>
      <c r="B20"/>
      <c r="C20"/>
      <c r="D20"/>
      <c r="E20"/>
      <c r="F20"/>
      <c r="G20"/>
    </row>
    <row r="21" spans="1:7" ht="14.4" x14ac:dyDescent="0.3">
      <c r="A21"/>
      <c r="B21"/>
      <c r="C21"/>
      <c r="D21"/>
      <c r="E21"/>
      <c r="F21"/>
      <c r="G21"/>
    </row>
    <row r="22" spans="1:7" ht="14.4" x14ac:dyDescent="0.3">
      <c r="A22"/>
      <c r="B22"/>
      <c r="C22"/>
      <c r="D22"/>
      <c r="E22"/>
      <c r="F22"/>
      <c r="G22"/>
    </row>
    <row r="23" spans="1:7" ht="15" thickBot="1" x14ac:dyDescent="0.35">
      <c r="A23"/>
      <c r="B23"/>
      <c r="C23"/>
      <c r="D23"/>
      <c r="E23"/>
      <c r="F23"/>
      <c r="G23"/>
    </row>
    <row r="24" spans="1:7" ht="15" thickTop="1" x14ac:dyDescent="0.3">
      <c r="A24"/>
      <c r="B24"/>
      <c r="C24"/>
      <c r="D24"/>
      <c r="E24"/>
      <c r="F24"/>
      <c r="G24"/>
    </row>
    <row r="25" spans="1:7" ht="14.4" x14ac:dyDescent="0.3">
      <c r="A25"/>
      <c r="B25"/>
      <c r="C25"/>
      <c r="D25"/>
      <c r="E25"/>
      <c r="F25"/>
      <c r="G25"/>
    </row>
    <row r="26" spans="1:7" ht="14.4" x14ac:dyDescent="0.3">
      <c r="A26"/>
      <c r="B26"/>
      <c r="C26"/>
      <c r="D26"/>
      <c r="E26"/>
      <c r="F26"/>
      <c r="G26"/>
    </row>
    <row r="27" spans="1:7" ht="14.4" x14ac:dyDescent="0.3">
      <c r="A27"/>
      <c r="B27"/>
      <c r="C27"/>
      <c r="D27"/>
      <c r="E27"/>
      <c r="F27"/>
      <c r="G27"/>
    </row>
    <row r="28" spans="1:7" ht="14.4" x14ac:dyDescent="0.3">
      <c r="A28"/>
      <c r="B28"/>
      <c r="C28"/>
      <c r="D28"/>
      <c r="E28"/>
      <c r="F28"/>
      <c r="G28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>
    <tabColor rgb="FFC00000"/>
    <pageSetUpPr fitToPage="1"/>
  </sheetPr>
  <dimension ref="A1:K564"/>
  <sheetViews>
    <sheetView showGridLines="0" zoomScale="85" zoomScaleNormal="85" workbookViewId="0">
      <pane xSplit="1" ySplit="11" topLeftCell="B12" activePane="bottomRight" state="frozen"/>
      <selection activeCell="B15" sqref="B15"/>
      <selection pane="topRight" activeCell="B15" sqref="B15"/>
      <selection pane="bottomLeft" activeCell="B15" sqref="B15"/>
      <selection pane="bottomRight" activeCell="B12" sqref="B12"/>
    </sheetView>
  </sheetViews>
  <sheetFormatPr defaultColWidth="11.33203125" defaultRowHeight="13.2" x14ac:dyDescent="0.25"/>
  <cols>
    <col min="1" max="1" width="49.109375" style="45" bestFit="1" customWidth="1"/>
    <col min="2" max="2" width="39.44140625" style="45" customWidth="1"/>
    <col min="3" max="3" width="9.44140625" style="45" customWidth="1"/>
    <col min="4" max="4" width="21.6640625" style="45" bestFit="1" customWidth="1"/>
    <col min="5" max="5" width="11.109375" style="45" customWidth="1"/>
    <col min="6" max="6" width="10.21875" style="45" customWidth="1"/>
    <col min="7" max="7" width="10.5546875" style="45" customWidth="1"/>
    <col min="8" max="8" width="7.21875" style="45" customWidth="1"/>
    <col min="9" max="16384" width="11.33203125" style="45"/>
  </cols>
  <sheetData>
    <row r="1" spans="1:11" ht="24" customHeight="1" x14ac:dyDescent="0.4">
      <c r="A1" s="44"/>
    </row>
    <row r="2" spans="1:11" x14ac:dyDescent="0.25">
      <c r="A2" s="46" t="s">
        <v>318</v>
      </c>
    </row>
    <row r="3" spans="1:11" x14ac:dyDescent="0.25">
      <c r="A3" s="46">
        <f>Updated</f>
        <v>0</v>
      </c>
    </row>
    <row r="4" spans="1:11" x14ac:dyDescent="0.25">
      <c r="A4" s="46"/>
    </row>
    <row r="5" spans="1:11" x14ac:dyDescent="0.25">
      <c r="A5" s="46"/>
    </row>
    <row r="6" spans="1:11" ht="14.4" x14ac:dyDescent="0.3">
      <c r="A6"/>
      <c r="B6"/>
    </row>
    <row r="7" spans="1:11" ht="14.4" x14ac:dyDescent="0.3">
      <c r="A7"/>
      <c r="B7"/>
    </row>
    <row r="8" spans="1:11" ht="14.4" x14ac:dyDescent="0.3">
      <c r="A8" s="47" t="s">
        <v>297</v>
      </c>
      <c r="B8" s="48" t="s">
        <v>132</v>
      </c>
    </row>
    <row r="9" spans="1:11" ht="14.4" x14ac:dyDescent="0.3">
      <c r="A9" s="47" t="s">
        <v>226</v>
      </c>
      <c r="B9" s="48" t="s">
        <v>132</v>
      </c>
    </row>
    <row r="10" spans="1:11" x14ac:dyDescent="0.25">
      <c r="A10" s="46"/>
    </row>
    <row r="11" spans="1:11" ht="14.4" x14ac:dyDescent="0.3">
      <c r="A11" s="1" t="s">
        <v>264</v>
      </c>
      <c r="B11" s="50" t="s">
        <v>280</v>
      </c>
      <c r="C11" s="50" t="s">
        <v>324</v>
      </c>
      <c r="D11" s="50" t="s">
        <v>281</v>
      </c>
      <c r="E11" s="50" t="s">
        <v>342</v>
      </c>
      <c r="F11" s="52" t="s">
        <v>350</v>
      </c>
      <c r="G11" s="59" t="s">
        <v>351</v>
      </c>
      <c r="H11" s="57" t="s">
        <v>352</v>
      </c>
      <c r="I11"/>
      <c r="J11"/>
      <c r="K11"/>
    </row>
    <row r="12" spans="1:11" ht="14.4" x14ac:dyDescent="0.3">
      <c r="A12" s="54" t="s">
        <v>339</v>
      </c>
      <c r="B12" s="61" t="s">
        <v>345</v>
      </c>
      <c r="C12" s="49" t="s">
        <v>313</v>
      </c>
      <c r="D12" s="61" t="s">
        <v>338</v>
      </c>
      <c r="E12" s="49" t="s">
        <v>253</v>
      </c>
      <c r="F12" s="74">
        <v>0</v>
      </c>
      <c r="G12" s="66">
        <v>0</v>
      </c>
      <c r="H12" s="69">
        <v>0</v>
      </c>
      <c r="I12"/>
      <c r="J12"/>
      <c r="K12"/>
    </row>
    <row r="13" spans="1:11" ht="14.4" x14ac:dyDescent="0.3">
      <c r="A13" s="60"/>
      <c r="B13" s="64"/>
      <c r="C13" s="49" t="s">
        <v>314</v>
      </c>
      <c r="D13" s="61" t="s">
        <v>338</v>
      </c>
      <c r="E13" s="49" t="s">
        <v>253</v>
      </c>
      <c r="F13" s="74">
        <v>1.31</v>
      </c>
      <c r="G13" s="66">
        <v>0</v>
      </c>
      <c r="H13" s="69">
        <v>0</v>
      </c>
      <c r="I13"/>
      <c r="J13"/>
      <c r="K13"/>
    </row>
    <row r="14" spans="1:11" ht="14.4" x14ac:dyDescent="0.3">
      <c r="A14" s="60"/>
      <c r="B14" s="64"/>
      <c r="C14" s="49" t="s">
        <v>312</v>
      </c>
      <c r="D14" s="61" t="s">
        <v>338</v>
      </c>
      <c r="E14" s="49" t="s">
        <v>253</v>
      </c>
      <c r="F14" s="74">
        <v>0</v>
      </c>
      <c r="G14" s="66">
        <v>0</v>
      </c>
      <c r="H14" s="69">
        <v>0</v>
      </c>
      <c r="I14"/>
      <c r="J14"/>
      <c r="K14"/>
    </row>
    <row r="15" spans="1:11" ht="14.4" x14ac:dyDescent="0.3">
      <c r="A15" s="62"/>
      <c r="B15" s="63"/>
      <c r="C15" s="63"/>
      <c r="D15" s="63"/>
      <c r="E15" s="63"/>
      <c r="F15" s="75"/>
      <c r="G15" s="72"/>
      <c r="H15" s="73"/>
      <c r="I15"/>
      <c r="J15"/>
      <c r="K15"/>
    </row>
    <row r="16" spans="1:11" ht="14.4" x14ac:dyDescent="0.3">
      <c r="A16"/>
      <c r="B16"/>
      <c r="C16"/>
      <c r="D16"/>
      <c r="E16"/>
      <c r="F16"/>
      <c r="G16"/>
      <c r="H16"/>
    </row>
    <row r="17" spans="1:8" ht="14.4" x14ac:dyDescent="0.3">
      <c r="A17"/>
      <c r="B17"/>
      <c r="C17"/>
      <c r="D17"/>
      <c r="E17"/>
      <c r="F17"/>
      <c r="G17"/>
      <c r="H17"/>
    </row>
    <row r="18" spans="1:8" ht="14.4" x14ac:dyDescent="0.3">
      <c r="A18"/>
      <c r="B18"/>
      <c r="C18"/>
      <c r="D18"/>
      <c r="E18"/>
      <c r="F18"/>
      <c r="G18"/>
      <c r="H18"/>
    </row>
    <row r="19" spans="1:8" ht="14.4" x14ac:dyDescent="0.3">
      <c r="A19"/>
      <c r="B19"/>
      <c r="C19"/>
      <c r="D19"/>
      <c r="E19"/>
      <c r="F19"/>
      <c r="G19"/>
      <c r="H19"/>
    </row>
    <row r="20" spans="1:8" ht="14.4" x14ac:dyDescent="0.3">
      <c r="A20"/>
      <c r="B20"/>
      <c r="C20"/>
      <c r="D20"/>
      <c r="E20"/>
      <c r="F20"/>
      <c r="G20"/>
      <c r="H20"/>
    </row>
    <row r="21" spans="1:8" ht="14.4" x14ac:dyDescent="0.3">
      <c r="A21"/>
      <c r="B21"/>
      <c r="C21"/>
      <c r="D21"/>
      <c r="E21"/>
      <c r="F21"/>
      <c r="G21"/>
      <c r="H21"/>
    </row>
    <row r="22" spans="1:8" ht="14.4" x14ac:dyDescent="0.3">
      <c r="A22"/>
      <c r="B22"/>
      <c r="C22"/>
      <c r="D22"/>
      <c r="E22"/>
      <c r="F22"/>
      <c r="G22"/>
      <c r="H22"/>
    </row>
    <row r="23" spans="1:8" ht="14.4" x14ac:dyDescent="0.3">
      <c r="A23"/>
      <c r="B23"/>
      <c r="C23"/>
      <c r="D23"/>
      <c r="E23"/>
      <c r="F23"/>
      <c r="G23"/>
      <c r="H23"/>
    </row>
    <row r="24" spans="1:8" ht="14.4" x14ac:dyDescent="0.3">
      <c r="A24"/>
      <c r="B24"/>
      <c r="C24"/>
      <c r="D24"/>
      <c r="E24"/>
      <c r="F24"/>
      <c r="G24"/>
      <c r="H24"/>
    </row>
    <row r="25" spans="1:8" ht="14.4" x14ac:dyDescent="0.3">
      <c r="A25"/>
      <c r="B25"/>
      <c r="C25"/>
      <c r="D25"/>
      <c r="E25"/>
      <c r="F25"/>
      <c r="G25"/>
      <c r="H25"/>
    </row>
    <row r="26" spans="1:8" ht="14.4" x14ac:dyDescent="0.3">
      <c r="A26"/>
      <c r="B26"/>
      <c r="C26"/>
      <c r="D26"/>
      <c r="E26"/>
      <c r="F26"/>
      <c r="G26"/>
      <c r="H26"/>
    </row>
    <row r="27" spans="1:8" ht="14.4" x14ac:dyDescent="0.3">
      <c r="A27"/>
      <c r="B27"/>
      <c r="C27"/>
      <c r="D27"/>
      <c r="E27"/>
      <c r="F27"/>
      <c r="G27"/>
      <c r="H27"/>
    </row>
    <row r="28" spans="1:8" ht="14.4" x14ac:dyDescent="0.3">
      <c r="A28"/>
      <c r="B28"/>
      <c r="C28"/>
      <c r="D28"/>
      <c r="E28"/>
      <c r="F28"/>
      <c r="G28"/>
      <c r="H28"/>
    </row>
    <row r="29" spans="1:8" ht="14.4" x14ac:dyDescent="0.3">
      <c r="A29"/>
      <c r="B29"/>
      <c r="C29"/>
      <c r="D29"/>
      <c r="E29"/>
      <c r="F29"/>
      <c r="G29"/>
      <c r="H29"/>
    </row>
    <row r="30" spans="1:8" ht="14.4" x14ac:dyDescent="0.3">
      <c r="A30"/>
      <c r="B30"/>
      <c r="C30"/>
      <c r="D30"/>
      <c r="E30"/>
      <c r="F30"/>
      <c r="G30"/>
      <c r="H30"/>
    </row>
    <row r="31" spans="1:8" ht="14.4" x14ac:dyDescent="0.3">
      <c r="A31"/>
      <c r="B31"/>
      <c r="C31"/>
      <c r="D31"/>
      <c r="E31"/>
      <c r="F31"/>
      <c r="G31"/>
      <c r="H31"/>
    </row>
    <row r="32" spans="1:8" ht="14.4" x14ac:dyDescent="0.3">
      <c r="A32"/>
      <c r="B32"/>
      <c r="C32"/>
      <c r="D32"/>
      <c r="E32"/>
      <c r="F32"/>
      <c r="G32"/>
      <c r="H32"/>
    </row>
    <row r="33" spans="1:8" ht="14.4" x14ac:dyDescent="0.3">
      <c r="A33"/>
      <c r="B33"/>
      <c r="C33"/>
      <c r="D33"/>
      <c r="E33"/>
      <c r="F33"/>
      <c r="G33"/>
      <c r="H33"/>
    </row>
    <row r="34" spans="1:8" ht="14.4" x14ac:dyDescent="0.3">
      <c r="A34"/>
      <c r="B34"/>
      <c r="C34"/>
      <c r="D34"/>
      <c r="E34"/>
      <c r="F34"/>
      <c r="G34"/>
      <c r="H34"/>
    </row>
    <row r="35" spans="1:8" ht="14.4" x14ac:dyDescent="0.3">
      <c r="A35"/>
      <c r="B35"/>
      <c r="C35"/>
      <c r="D35"/>
      <c r="E35"/>
      <c r="F35"/>
      <c r="G35"/>
      <c r="H35"/>
    </row>
    <row r="36" spans="1:8" ht="14.4" x14ac:dyDescent="0.3">
      <c r="A36"/>
      <c r="B36"/>
      <c r="C36"/>
      <c r="D36"/>
      <c r="E36"/>
      <c r="F36"/>
      <c r="G36"/>
      <c r="H36"/>
    </row>
    <row r="37" spans="1:8" ht="14.4" x14ac:dyDescent="0.3">
      <c r="A37"/>
      <c r="B37"/>
      <c r="C37"/>
      <c r="D37"/>
      <c r="E37"/>
      <c r="F37"/>
      <c r="G37"/>
      <c r="H37"/>
    </row>
    <row r="38" spans="1:8" ht="14.4" x14ac:dyDescent="0.3">
      <c r="A38"/>
      <c r="B38"/>
      <c r="C38"/>
      <c r="D38"/>
      <c r="E38"/>
      <c r="F38"/>
      <c r="G38"/>
      <c r="H38"/>
    </row>
    <row r="39" spans="1:8" ht="14.4" x14ac:dyDescent="0.3">
      <c r="A39"/>
      <c r="B39"/>
      <c r="C39"/>
      <c r="D39"/>
      <c r="E39"/>
      <c r="F39"/>
      <c r="G39"/>
      <c r="H39"/>
    </row>
    <row r="40" spans="1:8" ht="14.4" x14ac:dyDescent="0.3">
      <c r="A40"/>
      <c r="B40"/>
      <c r="C40"/>
      <c r="D40"/>
      <c r="E40"/>
      <c r="F40"/>
      <c r="G40"/>
      <c r="H40"/>
    </row>
    <row r="41" spans="1:8" ht="14.4" x14ac:dyDescent="0.3">
      <c r="A41"/>
      <c r="B41"/>
      <c r="C41"/>
      <c r="D41"/>
      <c r="E41"/>
      <c r="F41"/>
      <c r="G41"/>
      <c r="H41"/>
    </row>
    <row r="42" spans="1:8" ht="14.4" x14ac:dyDescent="0.3">
      <c r="A42"/>
      <c r="B42"/>
      <c r="C42"/>
      <c r="D42"/>
      <c r="E42"/>
      <c r="F42"/>
      <c r="G42"/>
      <c r="H42"/>
    </row>
    <row r="43" spans="1:8" ht="14.4" x14ac:dyDescent="0.3">
      <c r="A43"/>
      <c r="B43"/>
      <c r="C43"/>
      <c r="D43"/>
      <c r="E43"/>
      <c r="F43"/>
      <c r="G43"/>
      <c r="H43"/>
    </row>
    <row r="44" spans="1:8" ht="14.4" x14ac:dyDescent="0.3">
      <c r="A44"/>
      <c r="B44"/>
      <c r="C44"/>
      <c r="D44"/>
      <c r="E44"/>
      <c r="F44"/>
      <c r="G44"/>
      <c r="H44"/>
    </row>
    <row r="45" spans="1:8" ht="14.4" x14ac:dyDescent="0.3">
      <c r="A45"/>
      <c r="B45"/>
      <c r="C45"/>
      <c r="D45"/>
      <c r="E45"/>
      <c r="F45"/>
      <c r="G45"/>
      <c r="H45"/>
    </row>
    <row r="46" spans="1:8" ht="14.4" x14ac:dyDescent="0.3">
      <c r="A46"/>
      <c r="B46"/>
      <c r="C46"/>
      <c r="D46"/>
      <c r="E46"/>
      <c r="F46"/>
      <c r="G46"/>
      <c r="H46"/>
    </row>
    <row r="47" spans="1:8" ht="14.4" x14ac:dyDescent="0.3">
      <c r="A47"/>
      <c r="B47"/>
      <c r="C47"/>
      <c r="D47"/>
      <c r="E47"/>
      <c r="F47"/>
      <c r="G47"/>
      <c r="H47"/>
    </row>
    <row r="48" spans="1:8" ht="14.4" x14ac:dyDescent="0.3">
      <c r="A48"/>
      <c r="B48"/>
      <c r="C48"/>
      <c r="D48"/>
      <c r="E48"/>
      <c r="F48"/>
      <c r="G48"/>
      <c r="H48"/>
    </row>
    <row r="49" spans="1:8" ht="14.4" x14ac:dyDescent="0.3">
      <c r="A49"/>
      <c r="B49"/>
      <c r="C49"/>
      <c r="D49"/>
      <c r="E49"/>
      <c r="F49"/>
      <c r="G49"/>
      <c r="H49"/>
    </row>
    <row r="50" spans="1:8" ht="14.4" x14ac:dyDescent="0.3">
      <c r="A50"/>
      <c r="B50"/>
      <c r="C50"/>
      <c r="D50"/>
      <c r="E50"/>
      <c r="F50"/>
      <c r="G50"/>
      <c r="H50"/>
    </row>
    <row r="51" spans="1:8" ht="14.4" x14ac:dyDescent="0.3">
      <c r="A51"/>
      <c r="B51"/>
      <c r="C51"/>
      <c r="D51"/>
      <c r="E51"/>
      <c r="F51"/>
      <c r="G51"/>
      <c r="H51"/>
    </row>
    <row r="52" spans="1:8" ht="14.4" x14ac:dyDescent="0.3">
      <c r="A52"/>
      <c r="B52"/>
      <c r="C52"/>
      <c r="D52"/>
      <c r="E52"/>
      <c r="F52"/>
      <c r="G52"/>
      <c r="H52"/>
    </row>
    <row r="53" spans="1:8" ht="14.4" x14ac:dyDescent="0.3">
      <c r="A53"/>
      <c r="B53"/>
      <c r="C53"/>
      <c r="D53"/>
      <c r="E53"/>
      <c r="F53"/>
      <c r="G53"/>
      <c r="H53"/>
    </row>
    <row r="54" spans="1:8" ht="14.4" x14ac:dyDescent="0.3">
      <c r="A54"/>
      <c r="B54"/>
      <c r="C54"/>
      <c r="D54"/>
      <c r="E54"/>
      <c r="F54"/>
      <c r="G54"/>
      <c r="H54"/>
    </row>
    <row r="55" spans="1:8" ht="14.4" x14ac:dyDescent="0.3">
      <c r="A55"/>
      <c r="B55"/>
      <c r="C55"/>
      <c r="D55"/>
      <c r="E55"/>
      <c r="F55"/>
      <c r="G55"/>
      <c r="H55"/>
    </row>
    <row r="56" spans="1:8" ht="14.4" x14ac:dyDescent="0.3">
      <c r="A56"/>
      <c r="B56"/>
      <c r="C56"/>
      <c r="D56"/>
      <c r="E56"/>
      <c r="F56"/>
      <c r="G56"/>
      <c r="H56"/>
    </row>
    <row r="57" spans="1:8" ht="14.4" x14ac:dyDescent="0.3">
      <c r="A57"/>
      <c r="B57"/>
      <c r="C57"/>
      <c r="D57"/>
      <c r="E57"/>
      <c r="F57"/>
      <c r="G57"/>
      <c r="H57"/>
    </row>
    <row r="58" spans="1:8" ht="14.4" x14ac:dyDescent="0.3">
      <c r="A58"/>
      <c r="B58"/>
      <c r="C58"/>
      <c r="D58"/>
      <c r="E58"/>
      <c r="F58"/>
      <c r="G58"/>
      <c r="H58"/>
    </row>
    <row r="59" spans="1:8" ht="14.4" x14ac:dyDescent="0.3">
      <c r="A59"/>
      <c r="B59"/>
      <c r="C59"/>
      <c r="D59"/>
      <c r="E59"/>
      <c r="F59"/>
      <c r="G59"/>
      <c r="H59"/>
    </row>
    <row r="60" spans="1:8" ht="14.4" x14ac:dyDescent="0.3">
      <c r="A60"/>
      <c r="B60"/>
      <c r="C60"/>
      <c r="D60"/>
      <c r="E60"/>
      <c r="F60"/>
      <c r="G60"/>
      <c r="H60"/>
    </row>
    <row r="61" spans="1:8" ht="14.4" x14ac:dyDescent="0.3">
      <c r="A61"/>
      <c r="B61"/>
      <c r="C61"/>
      <c r="D61"/>
      <c r="E61"/>
      <c r="F61"/>
      <c r="G61"/>
      <c r="H61"/>
    </row>
    <row r="62" spans="1:8" ht="14.4" x14ac:dyDescent="0.3">
      <c r="A62"/>
      <c r="B62"/>
      <c r="C62"/>
      <c r="D62"/>
      <c r="E62"/>
      <c r="F62"/>
      <c r="G62"/>
      <c r="H62"/>
    </row>
    <row r="63" spans="1:8" ht="14.4" x14ac:dyDescent="0.3">
      <c r="A63"/>
      <c r="B63"/>
      <c r="C63"/>
      <c r="D63"/>
      <c r="E63"/>
      <c r="F63"/>
      <c r="G63"/>
      <c r="H63"/>
    </row>
    <row r="64" spans="1:8" ht="14.4" x14ac:dyDescent="0.3">
      <c r="A64"/>
      <c r="B64"/>
      <c r="C64"/>
      <c r="D64"/>
      <c r="E64"/>
      <c r="F64"/>
      <c r="G64"/>
      <c r="H64"/>
    </row>
    <row r="65" spans="1:8" ht="14.4" x14ac:dyDescent="0.3">
      <c r="A65"/>
      <c r="B65"/>
      <c r="C65"/>
      <c r="D65"/>
      <c r="E65"/>
      <c r="F65"/>
      <c r="G65"/>
      <c r="H65"/>
    </row>
    <row r="66" spans="1:8" ht="14.4" x14ac:dyDescent="0.3">
      <c r="A66"/>
      <c r="B66"/>
      <c r="C66"/>
      <c r="D66"/>
      <c r="E66"/>
      <c r="F66"/>
      <c r="G66"/>
      <c r="H66"/>
    </row>
    <row r="67" spans="1:8" ht="14.4" x14ac:dyDescent="0.3">
      <c r="A67"/>
      <c r="B67"/>
      <c r="C67"/>
      <c r="D67"/>
      <c r="E67"/>
      <c r="F67"/>
      <c r="G67"/>
      <c r="H67"/>
    </row>
    <row r="68" spans="1:8" ht="14.4" x14ac:dyDescent="0.3">
      <c r="A68"/>
      <c r="B68"/>
      <c r="C68"/>
      <c r="D68"/>
      <c r="E68"/>
      <c r="F68"/>
      <c r="G68"/>
      <c r="H68"/>
    </row>
    <row r="69" spans="1:8" ht="14.4" x14ac:dyDescent="0.3">
      <c r="A69"/>
      <c r="B69"/>
      <c r="C69"/>
      <c r="D69"/>
      <c r="E69"/>
      <c r="F69"/>
      <c r="G69"/>
      <c r="H69"/>
    </row>
    <row r="70" spans="1:8" ht="14.4" x14ac:dyDescent="0.3">
      <c r="A70"/>
      <c r="B70"/>
      <c r="C70"/>
      <c r="D70"/>
      <c r="E70"/>
      <c r="F70"/>
      <c r="G70"/>
      <c r="H70"/>
    </row>
    <row r="71" spans="1:8" ht="14.4" x14ac:dyDescent="0.3">
      <c r="A71"/>
      <c r="B71"/>
      <c r="C71"/>
      <c r="D71"/>
      <c r="E71"/>
      <c r="F71"/>
      <c r="G71"/>
      <c r="H71"/>
    </row>
    <row r="72" spans="1:8" ht="14.4" x14ac:dyDescent="0.3">
      <c r="A72"/>
      <c r="B72"/>
      <c r="C72"/>
      <c r="D72"/>
      <c r="E72"/>
      <c r="F72"/>
      <c r="G72"/>
      <c r="H72"/>
    </row>
    <row r="73" spans="1:8" ht="14.4" x14ac:dyDescent="0.3">
      <c r="A73"/>
      <c r="B73"/>
      <c r="C73"/>
      <c r="D73"/>
      <c r="E73"/>
      <c r="F73"/>
      <c r="G73"/>
      <c r="H73"/>
    </row>
    <row r="74" spans="1:8" ht="14.4" x14ac:dyDescent="0.3">
      <c r="A74"/>
      <c r="B74"/>
      <c r="C74"/>
      <c r="D74"/>
      <c r="E74"/>
      <c r="F74"/>
      <c r="G74"/>
      <c r="H74"/>
    </row>
    <row r="75" spans="1:8" ht="14.4" x14ac:dyDescent="0.3">
      <c r="A75"/>
      <c r="B75"/>
      <c r="C75"/>
      <c r="D75"/>
      <c r="E75"/>
      <c r="F75"/>
      <c r="G75"/>
      <c r="H75"/>
    </row>
    <row r="76" spans="1:8" ht="14.4" x14ac:dyDescent="0.3">
      <c r="A76"/>
      <c r="B76"/>
      <c r="C76"/>
      <c r="D76"/>
      <c r="E76"/>
      <c r="F76"/>
      <c r="G76"/>
      <c r="H76"/>
    </row>
    <row r="77" spans="1:8" ht="14.4" x14ac:dyDescent="0.3">
      <c r="A77"/>
      <c r="B77"/>
      <c r="C77"/>
      <c r="D77"/>
      <c r="E77"/>
      <c r="F77"/>
      <c r="G77"/>
      <c r="H77"/>
    </row>
    <row r="78" spans="1:8" ht="14.4" x14ac:dyDescent="0.3">
      <c r="A78"/>
      <c r="B78"/>
      <c r="C78"/>
      <c r="D78"/>
      <c r="E78"/>
      <c r="F78"/>
      <c r="G78"/>
      <c r="H78"/>
    </row>
    <row r="79" spans="1:8" ht="14.4" x14ac:dyDescent="0.3">
      <c r="A79"/>
      <c r="B79"/>
      <c r="C79"/>
      <c r="D79"/>
      <c r="E79"/>
      <c r="F79"/>
      <c r="G79"/>
      <c r="H79"/>
    </row>
    <row r="80" spans="1:8" ht="14.4" x14ac:dyDescent="0.3">
      <c r="A80"/>
      <c r="B80"/>
      <c r="C80"/>
      <c r="D80"/>
      <c r="E80"/>
      <c r="F80"/>
      <c r="G80"/>
      <c r="H80"/>
    </row>
    <row r="81" spans="1:8" ht="14.4" x14ac:dyDescent="0.3">
      <c r="A81"/>
      <c r="B81"/>
      <c r="C81"/>
      <c r="D81"/>
      <c r="E81"/>
      <c r="F81"/>
      <c r="G81"/>
      <c r="H81"/>
    </row>
    <row r="82" spans="1:8" ht="14.4" x14ac:dyDescent="0.3">
      <c r="A82"/>
      <c r="B82"/>
      <c r="C82"/>
      <c r="D82"/>
      <c r="E82"/>
      <c r="F82"/>
      <c r="G82"/>
      <c r="H82"/>
    </row>
    <row r="83" spans="1:8" ht="14.4" x14ac:dyDescent="0.3">
      <c r="A83"/>
      <c r="B83"/>
      <c r="C83"/>
      <c r="D83"/>
      <c r="E83"/>
      <c r="F83"/>
      <c r="G83"/>
      <c r="H83"/>
    </row>
    <row r="84" spans="1:8" ht="14.4" x14ac:dyDescent="0.3">
      <c r="A84"/>
      <c r="B84"/>
      <c r="C84"/>
      <c r="D84"/>
      <c r="E84"/>
      <c r="F84"/>
      <c r="G84"/>
      <c r="H84"/>
    </row>
    <row r="85" spans="1:8" ht="14.4" x14ac:dyDescent="0.3">
      <c r="A85"/>
      <c r="B85"/>
      <c r="C85"/>
      <c r="D85"/>
      <c r="E85"/>
      <c r="F85"/>
      <c r="G85"/>
      <c r="H85"/>
    </row>
    <row r="86" spans="1:8" ht="14.4" x14ac:dyDescent="0.3">
      <c r="A86"/>
      <c r="B86"/>
      <c r="C86"/>
      <c r="D86"/>
      <c r="E86"/>
      <c r="F86"/>
      <c r="G86"/>
      <c r="H86"/>
    </row>
    <row r="87" spans="1:8" ht="14.4" x14ac:dyDescent="0.3">
      <c r="A87"/>
      <c r="B87"/>
      <c r="C87"/>
      <c r="D87"/>
      <c r="E87"/>
      <c r="F87"/>
      <c r="G87"/>
      <c r="H87"/>
    </row>
    <row r="88" spans="1:8" ht="14.4" x14ac:dyDescent="0.3">
      <c r="A88"/>
      <c r="B88"/>
      <c r="C88"/>
      <c r="D88"/>
      <c r="E88"/>
      <c r="F88"/>
      <c r="G88"/>
      <c r="H88"/>
    </row>
    <row r="89" spans="1:8" ht="14.4" x14ac:dyDescent="0.3">
      <c r="A89"/>
      <c r="B89"/>
      <c r="C89"/>
      <c r="D89"/>
      <c r="E89"/>
      <c r="F89"/>
      <c r="G89"/>
      <c r="H89"/>
    </row>
    <row r="90" spans="1:8" ht="14.4" x14ac:dyDescent="0.3">
      <c r="A90"/>
      <c r="B90"/>
      <c r="C90"/>
      <c r="D90"/>
      <c r="E90"/>
      <c r="F90"/>
      <c r="G90"/>
      <c r="H90"/>
    </row>
    <row r="91" spans="1:8" ht="14.4" x14ac:dyDescent="0.3">
      <c r="A91"/>
      <c r="B91"/>
      <c r="C91"/>
      <c r="D91"/>
      <c r="E91"/>
      <c r="F91"/>
      <c r="G91"/>
      <c r="H91"/>
    </row>
    <row r="92" spans="1:8" ht="14.4" x14ac:dyDescent="0.3">
      <c r="A92"/>
      <c r="B92"/>
      <c r="C92"/>
      <c r="D92"/>
      <c r="E92"/>
      <c r="F92"/>
      <c r="G92"/>
      <c r="H92"/>
    </row>
    <row r="93" spans="1:8" ht="14.4" x14ac:dyDescent="0.3">
      <c r="A93"/>
      <c r="B93"/>
      <c r="C93"/>
      <c r="D93"/>
      <c r="E93"/>
      <c r="F93"/>
      <c r="G93"/>
      <c r="H93"/>
    </row>
    <row r="94" spans="1:8" ht="14.4" x14ac:dyDescent="0.3">
      <c r="A94"/>
      <c r="B94"/>
      <c r="C94"/>
      <c r="D94"/>
      <c r="E94"/>
      <c r="F94"/>
      <c r="G94"/>
      <c r="H94"/>
    </row>
    <row r="95" spans="1:8" ht="14.4" x14ac:dyDescent="0.3">
      <c r="A95"/>
      <c r="B95"/>
      <c r="C95"/>
      <c r="D95"/>
      <c r="E95"/>
      <c r="F95"/>
      <c r="G95"/>
      <c r="H95"/>
    </row>
    <row r="96" spans="1:8" ht="14.4" x14ac:dyDescent="0.3">
      <c r="A96"/>
      <c r="B96"/>
      <c r="C96"/>
      <c r="D96"/>
      <c r="E96"/>
      <c r="F96"/>
      <c r="G96"/>
      <c r="H96"/>
    </row>
    <row r="97" spans="1:8" ht="14.4" x14ac:dyDescent="0.3">
      <c r="A97"/>
      <c r="B97"/>
      <c r="C97"/>
      <c r="D97"/>
      <c r="E97"/>
      <c r="F97"/>
      <c r="G97"/>
      <c r="H97"/>
    </row>
    <row r="98" spans="1:8" ht="14.4" x14ac:dyDescent="0.3">
      <c r="A98"/>
      <c r="B98"/>
      <c r="C98"/>
      <c r="D98"/>
      <c r="E98"/>
      <c r="F98"/>
      <c r="G98"/>
      <c r="H98"/>
    </row>
    <row r="99" spans="1:8" ht="14.4" x14ac:dyDescent="0.3">
      <c r="A99"/>
      <c r="B99"/>
      <c r="C99"/>
      <c r="D99"/>
      <c r="E99"/>
      <c r="F99"/>
      <c r="G99"/>
      <c r="H99"/>
    </row>
    <row r="100" spans="1:8" ht="14.4" x14ac:dyDescent="0.3">
      <c r="A100"/>
      <c r="B100"/>
      <c r="C100"/>
      <c r="D100"/>
      <c r="E100"/>
      <c r="F100"/>
      <c r="G100"/>
      <c r="H100"/>
    </row>
    <row r="101" spans="1:8" ht="14.4" x14ac:dyDescent="0.3">
      <c r="A101"/>
      <c r="B101"/>
      <c r="C101"/>
      <c r="D101"/>
      <c r="E101"/>
      <c r="F101"/>
      <c r="G101"/>
      <c r="H101"/>
    </row>
    <row r="102" spans="1:8" ht="14.4" x14ac:dyDescent="0.3">
      <c r="A102"/>
      <c r="B102"/>
      <c r="C102"/>
      <c r="D102"/>
      <c r="E102"/>
      <c r="F102"/>
      <c r="G102"/>
      <c r="H102"/>
    </row>
    <row r="103" spans="1:8" ht="14.4" x14ac:dyDescent="0.3">
      <c r="A103"/>
      <c r="B103"/>
      <c r="C103"/>
      <c r="D103"/>
      <c r="E103"/>
      <c r="F103"/>
      <c r="G103"/>
      <c r="H103"/>
    </row>
    <row r="104" spans="1:8" ht="14.4" x14ac:dyDescent="0.3">
      <c r="A104"/>
      <c r="B104"/>
      <c r="C104"/>
      <c r="D104"/>
      <c r="E104"/>
      <c r="F104"/>
      <c r="G104"/>
      <c r="H104"/>
    </row>
    <row r="105" spans="1:8" ht="14.4" x14ac:dyDescent="0.3">
      <c r="A105"/>
      <c r="B105"/>
      <c r="C105"/>
      <c r="D105"/>
      <c r="E105"/>
      <c r="F105"/>
      <c r="G105"/>
      <c r="H105"/>
    </row>
    <row r="106" spans="1:8" ht="14.4" x14ac:dyDescent="0.3">
      <c r="A106"/>
      <c r="B106"/>
      <c r="C106"/>
      <c r="D106"/>
      <c r="E106"/>
      <c r="F106"/>
      <c r="G106"/>
      <c r="H106"/>
    </row>
    <row r="107" spans="1:8" ht="14.4" x14ac:dyDescent="0.3">
      <c r="A107"/>
      <c r="B107"/>
      <c r="C107"/>
      <c r="D107"/>
      <c r="E107"/>
      <c r="F107"/>
      <c r="G107"/>
      <c r="H107"/>
    </row>
    <row r="108" spans="1:8" ht="14.4" x14ac:dyDescent="0.3">
      <c r="A108"/>
      <c r="B108"/>
      <c r="C108"/>
      <c r="D108"/>
      <c r="E108"/>
      <c r="F108"/>
      <c r="G108"/>
      <c r="H108"/>
    </row>
    <row r="109" spans="1:8" ht="14.4" x14ac:dyDescent="0.3">
      <c r="A109"/>
      <c r="B109"/>
      <c r="C109"/>
      <c r="D109"/>
      <c r="E109"/>
      <c r="F109"/>
      <c r="G109"/>
      <c r="H109"/>
    </row>
    <row r="110" spans="1:8" ht="14.4" x14ac:dyDescent="0.3">
      <c r="A110"/>
      <c r="B110"/>
      <c r="C110"/>
      <c r="D110"/>
      <c r="E110"/>
      <c r="F110"/>
      <c r="G110"/>
      <c r="H110"/>
    </row>
    <row r="111" spans="1:8" ht="14.4" x14ac:dyDescent="0.3">
      <c r="A111"/>
      <c r="B111"/>
      <c r="C111"/>
      <c r="D111"/>
      <c r="E111"/>
      <c r="F111"/>
      <c r="G111"/>
      <c r="H111"/>
    </row>
    <row r="112" spans="1:8" ht="14.4" x14ac:dyDescent="0.3">
      <c r="A112"/>
      <c r="B112"/>
      <c r="C112"/>
      <c r="D112"/>
      <c r="E112"/>
      <c r="F112"/>
      <c r="G112"/>
      <c r="H112"/>
    </row>
    <row r="113" spans="1:8" ht="14.4" x14ac:dyDescent="0.3">
      <c r="A113"/>
      <c r="B113"/>
      <c r="C113"/>
      <c r="D113"/>
      <c r="E113"/>
      <c r="F113"/>
      <c r="G113"/>
      <c r="H113"/>
    </row>
    <row r="114" spans="1:8" ht="14.4" x14ac:dyDescent="0.3">
      <c r="A114"/>
      <c r="B114"/>
      <c r="C114"/>
      <c r="D114"/>
      <c r="E114"/>
      <c r="F114"/>
      <c r="G114"/>
      <c r="H114"/>
    </row>
    <row r="115" spans="1:8" ht="14.4" x14ac:dyDescent="0.3">
      <c r="A115"/>
      <c r="B115"/>
      <c r="C115"/>
      <c r="D115"/>
      <c r="E115"/>
      <c r="F115"/>
      <c r="G115"/>
      <c r="H115"/>
    </row>
    <row r="116" spans="1:8" ht="14.4" x14ac:dyDescent="0.3">
      <c r="A116"/>
      <c r="B116"/>
      <c r="C116"/>
      <c r="D116"/>
      <c r="E116"/>
      <c r="F116"/>
      <c r="G116"/>
      <c r="H116"/>
    </row>
    <row r="117" spans="1:8" ht="14.4" x14ac:dyDescent="0.3">
      <c r="A117"/>
      <c r="B117"/>
      <c r="C117"/>
      <c r="D117"/>
      <c r="E117"/>
      <c r="F117"/>
      <c r="G117"/>
      <c r="H117"/>
    </row>
    <row r="118" spans="1:8" ht="14.4" x14ac:dyDescent="0.3">
      <c r="A118"/>
      <c r="B118"/>
      <c r="C118"/>
      <c r="D118"/>
      <c r="E118"/>
      <c r="F118"/>
      <c r="G118"/>
      <c r="H118"/>
    </row>
    <row r="119" spans="1:8" ht="14.4" x14ac:dyDescent="0.3">
      <c r="A119"/>
      <c r="B119"/>
      <c r="C119"/>
      <c r="D119"/>
      <c r="E119"/>
      <c r="F119"/>
      <c r="G119"/>
      <c r="H119"/>
    </row>
    <row r="120" spans="1:8" ht="14.4" x14ac:dyDescent="0.3">
      <c r="A120"/>
      <c r="B120"/>
      <c r="C120"/>
      <c r="D120"/>
      <c r="E120"/>
      <c r="F120"/>
      <c r="G120"/>
      <c r="H120"/>
    </row>
    <row r="121" spans="1:8" ht="14.4" x14ac:dyDescent="0.3">
      <c r="A121"/>
      <c r="B121"/>
      <c r="C121"/>
      <c r="D121"/>
      <c r="E121"/>
      <c r="F121"/>
      <c r="G121"/>
      <c r="H121"/>
    </row>
    <row r="122" spans="1:8" ht="14.4" x14ac:dyDescent="0.3">
      <c r="A122"/>
      <c r="B122"/>
      <c r="C122"/>
      <c r="D122"/>
      <c r="E122"/>
      <c r="F122"/>
      <c r="G122"/>
      <c r="H122"/>
    </row>
    <row r="123" spans="1:8" ht="14.4" x14ac:dyDescent="0.3">
      <c r="A123"/>
      <c r="B123"/>
      <c r="C123"/>
      <c r="D123"/>
      <c r="E123"/>
      <c r="F123"/>
      <c r="G123"/>
      <c r="H123"/>
    </row>
    <row r="124" spans="1:8" ht="14.4" x14ac:dyDescent="0.3">
      <c r="A124"/>
      <c r="B124"/>
      <c r="C124"/>
      <c r="D124"/>
      <c r="E124"/>
      <c r="F124"/>
      <c r="G124"/>
      <c r="H124"/>
    </row>
    <row r="125" spans="1:8" ht="14.4" x14ac:dyDescent="0.3">
      <c r="A125"/>
      <c r="B125"/>
      <c r="C125"/>
      <c r="D125"/>
      <c r="E125"/>
      <c r="F125"/>
      <c r="G125"/>
      <c r="H125"/>
    </row>
    <row r="126" spans="1:8" ht="14.4" x14ac:dyDescent="0.3">
      <c r="A126"/>
      <c r="B126"/>
      <c r="C126"/>
      <c r="D126"/>
      <c r="E126"/>
      <c r="F126"/>
      <c r="G126"/>
      <c r="H126"/>
    </row>
    <row r="127" spans="1:8" ht="14.4" x14ac:dyDescent="0.3">
      <c r="A127"/>
      <c r="B127"/>
      <c r="C127"/>
      <c r="D127"/>
      <c r="E127"/>
      <c r="F127"/>
      <c r="G127"/>
      <c r="H127"/>
    </row>
    <row r="128" spans="1:8" ht="14.4" x14ac:dyDescent="0.3">
      <c r="A128"/>
      <c r="B128"/>
      <c r="C128"/>
      <c r="D128"/>
      <c r="E128"/>
      <c r="F128"/>
      <c r="G128"/>
      <c r="H128"/>
    </row>
    <row r="129" spans="1:8" ht="14.4" x14ac:dyDescent="0.3">
      <c r="A129"/>
      <c r="B129"/>
      <c r="C129"/>
      <c r="D129"/>
      <c r="E129"/>
      <c r="F129"/>
      <c r="G129"/>
      <c r="H129"/>
    </row>
    <row r="130" spans="1:8" ht="14.4" x14ac:dyDescent="0.3">
      <c r="A130"/>
      <c r="B130"/>
      <c r="C130"/>
      <c r="D130"/>
      <c r="E130"/>
      <c r="F130"/>
      <c r="G130"/>
      <c r="H130"/>
    </row>
    <row r="131" spans="1:8" ht="14.4" x14ac:dyDescent="0.3">
      <c r="A131"/>
      <c r="B131"/>
      <c r="C131"/>
      <c r="D131"/>
      <c r="E131"/>
      <c r="F131"/>
      <c r="G131"/>
      <c r="H131"/>
    </row>
    <row r="132" spans="1:8" ht="14.4" x14ac:dyDescent="0.3">
      <c r="A132"/>
      <c r="B132"/>
      <c r="C132"/>
      <c r="D132"/>
      <c r="E132"/>
      <c r="F132"/>
      <c r="G132"/>
      <c r="H132"/>
    </row>
    <row r="133" spans="1:8" ht="14.4" x14ac:dyDescent="0.3">
      <c r="A133"/>
      <c r="B133"/>
      <c r="C133"/>
      <c r="D133"/>
      <c r="E133"/>
      <c r="F133"/>
      <c r="G133"/>
      <c r="H133"/>
    </row>
    <row r="134" spans="1:8" ht="14.4" x14ac:dyDescent="0.3">
      <c r="A134"/>
      <c r="B134"/>
      <c r="C134"/>
      <c r="D134"/>
      <c r="E134"/>
      <c r="F134"/>
      <c r="G134"/>
      <c r="H134"/>
    </row>
    <row r="135" spans="1:8" ht="14.4" x14ac:dyDescent="0.3">
      <c r="A135"/>
      <c r="B135"/>
      <c r="C135"/>
      <c r="D135"/>
      <c r="E135"/>
      <c r="F135"/>
      <c r="G135"/>
      <c r="H135"/>
    </row>
    <row r="136" spans="1:8" ht="14.4" x14ac:dyDescent="0.3">
      <c r="A136"/>
      <c r="B136"/>
      <c r="C136"/>
      <c r="D136"/>
      <c r="E136"/>
      <c r="F136"/>
      <c r="G136"/>
      <c r="H136"/>
    </row>
    <row r="137" spans="1:8" ht="14.4" x14ac:dyDescent="0.3">
      <c r="A137"/>
      <c r="B137"/>
      <c r="C137"/>
      <c r="D137"/>
      <c r="E137"/>
      <c r="F137"/>
      <c r="G137"/>
      <c r="H137"/>
    </row>
    <row r="138" spans="1:8" ht="14.4" x14ac:dyDescent="0.3">
      <c r="A138"/>
      <c r="B138"/>
      <c r="C138"/>
      <c r="D138"/>
      <c r="E138"/>
      <c r="F138"/>
      <c r="G138"/>
      <c r="H138"/>
    </row>
    <row r="139" spans="1:8" ht="14.4" x14ac:dyDescent="0.3">
      <c r="A139"/>
      <c r="B139"/>
      <c r="C139"/>
      <c r="D139"/>
      <c r="E139"/>
      <c r="F139"/>
      <c r="G139"/>
      <c r="H139"/>
    </row>
    <row r="140" spans="1:8" ht="14.4" x14ac:dyDescent="0.3">
      <c r="A140"/>
      <c r="B140"/>
      <c r="C140"/>
      <c r="D140"/>
      <c r="E140"/>
      <c r="F140"/>
      <c r="G140"/>
      <c r="H140"/>
    </row>
    <row r="141" spans="1:8" ht="14.4" x14ac:dyDescent="0.3">
      <c r="A141"/>
      <c r="B141"/>
      <c r="C141"/>
      <c r="D141"/>
      <c r="E141"/>
      <c r="F141"/>
      <c r="G141"/>
      <c r="H141"/>
    </row>
    <row r="142" spans="1:8" ht="14.4" x14ac:dyDescent="0.3">
      <c r="A142"/>
      <c r="B142"/>
      <c r="C142"/>
      <c r="D142"/>
      <c r="E142"/>
      <c r="F142"/>
      <c r="G142"/>
      <c r="H142"/>
    </row>
    <row r="143" spans="1:8" ht="14.4" x14ac:dyDescent="0.3">
      <c r="A143"/>
      <c r="B143"/>
      <c r="C143"/>
      <c r="D143"/>
      <c r="E143"/>
      <c r="F143"/>
      <c r="G143"/>
      <c r="H143"/>
    </row>
    <row r="144" spans="1:8" ht="14.4" x14ac:dyDescent="0.3">
      <c r="A144"/>
      <c r="B144"/>
      <c r="C144"/>
      <c r="D144"/>
      <c r="E144"/>
      <c r="F144"/>
      <c r="G144"/>
      <c r="H144"/>
    </row>
    <row r="145" spans="1:8" ht="14.4" x14ac:dyDescent="0.3">
      <c r="A145"/>
      <c r="B145"/>
      <c r="C145"/>
      <c r="D145"/>
      <c r="E145"/>
      <c r="F145"/>
      <c r="G145"/>
      <c r="H145"/>
    </row>
    <row r="146" spans="1:8" ht="14.4" x14ac:dyDescent="0.3">
      <c r="A146"/>
      <c r="B146"/>
      <c r="C146"/>
      <c r="D146"/>
      <c r="E146"/>
      <c r="F146"/>
      <c r="G146"/>
      <c r="H146"/>
    </row>
    <row r="147" spans="1:8" ht="14.4" x14ac:dyDescent="0.3">
      <c r="A147"/>
      <c r="B147"/>
      <c r="C147"/>
      <c r="D147"/>
      <c r="E147"/>
      <c r="F147"/>
      <c r="G147"/>
      <c r="H147"/>
    </row>
    <row r="148" spans="1:8" ht="14.4" x14ac:dyDescent="0.3">
      <c r="A148"/>
      <c r="B148"/>
      <c r="C148"/>
      <c r="D148"/>
      <c r="E148"/>
      <c r="F148"/>
      <c r="G148"/>
      <c r="H148"/>
    </row>
    <row r="149" spans="1:8" ht="14.4" x14ac:dyDescent="0.3">
      <c r="A149"/>
      <c r="B149"/>
      <c r="C149"/>
      <c r="D149"/>
      <c r="E149"/>
      <c r="F149"/>
      <c r="G149"/>
      <c r="H149"/>
    </row>
    <row r="150" spans="1:8" ht="14.4" x14ac:dyDescent="0.3">
      <c r="A150"/>
      <c r="B150"/>
      <c r="C150"/>
      <c r="D150"/>
      <c r="E150"/>
      <c r="F150"/>
      <c r="G150"/>
      <c r="H150"/>
    </row>
    <row r="151" spans="1:8" ht="14.4" x14ac:dyDescent="0.3">
      <c r="A151"/>
      <c r="B151"/>
      <c r="C151"/>
      <c r="D151"/>
      <c r="E151"/>
      <c r="F151"/>
      <c r="G151"/>
      <c r="H151"/>
    </row>
    <row r="152" spans="1:8" ht="14.4" x14ac:dyDescent="0.3">
      <c r="A152"/>
      <c r="B152"/>
      <c r="C152"/>
      <c r="D152"/>
      <c r="E152"/>
      <c r="F152"/>
      <c r="G152"/>
      <c r="H152"/>
    </row>
    <row r="153" spans="1:8" ht="14.4" x14ac:dyDescent="0.3">
      <c r="A153"/>
      <c r="B153"/>
      <c r="C153"/>
      <c r="D153"/>
      <c r="E153"/>
      <c r="F153"/>
      <c r="G153"/>
      <c r="H153"/>
    </row>
    <row r="154" spans="1:8" ht="14.4" x14ac:dyDescent="0.3">
      <c r="A154"/>
      <c r="B154"/>
      <c r="C154"/>
      <c r="D154"/>
      <c r="E154"/>
      <c r="F154"/>
      <c r="G154"/>
      <c r="H154"/>
    </row>
    <row r="155" spans="1:8" ht="14.4" x14ac:dyDescent="0.3">
      <c r="A155"/>
      <c r="B155"/>
      <c r="C155"/>
      <c r="D155"/>
      <c r="E155"/>
      <c r="F155"/>
      <c r="G155"/>
      <c r="H155"/>
    </row>
    <row r="156" spans="1:8" ht="14.4" x14ac:dyDescent="0.3">
      <c r="A156"/>
      <c r="B156"/>
      <c r="C156"/>
      <c r="D156"/>
      <c r="E156"/>
      <c r="F156"/>
      <c r="G156"/>
      <c r="H156"/>
    </row>
    <row r="157" spans="1:8" ht="14.4" x14ac:dyDescent="0.3">
      <c r="A157"/>
      <c r="B157"/>
      <c r="C157"/>
      <c r="D157"/>
      <c r="E157"/>
      <c r="F157"/>
      <c r="G157"/>
      <c r="H157"/>
    </row>
    <row r="158" spans="1:8" ht="14.4" x14ac:dyDescent="0.3">
      <c r="A158"/>
      <c r="B158"/>
      <c r="C158"/>
      <c r="D158"/>
      <c r="E158"/>
      <c r="F158"/>
      <c r="G158"/>
      <c r="H158"/>
    </row>
    <row r="159" spans="1:8" ht="14.4" x14ac:dyDescent="0.3">
      <c r="A159"/>
      <c r="B159"/>
      <c r="C159"/>
      <c r="D159"/>
      <c r="E159"/>
      <c r="F159"/>
      <c r="G159"/>
      <c r="H159"/>
    </row>
    <row r="160" spans="1:8" ht="14.4" x14ac:dyDescent="0.3">
      <c r="A160"/>
      <c r="B160"/>
      <c r="C160"/>
      <c r="D160"/>
      <c r="E160"/>
      <c r="F160"/>
      <c r="G160"/>
      <c r="H160"/>
    </row>
    <row r="161" spans="1:8" ht="14.4" x14ac:dyDescent="0.3">
      <c r="A161"/>
      <c r="B161"/>
      <c r="C161"/>
      <c r="D161"/>
      <c r="E161"/>
      <c r="F161"/>
      <c r="G161"/>
      <c r="H161"/>
    </row>
    <row r="162" spans="1:8" ht="14.4" x14ac:dyDescent="0.3">
      <c r="A162"/>
      <c r="B162"/>
      <c r="C162"/>
      <c r="D162"/>
      <c r="E162"/>
      <c r="F162"/>
      <c r="G162"/>
      <c r="H162"/>
    </row>
    <row r="163" spans="1:8" ht="14.4" x14ac:dyDescent="0.3">
      <c r="A163"/>
      <c r="B163"/>
      <c r="C163"/>
      <c r="D163"/>
      <c r="E163"/>
      <c r="F163"/>
      <c r="G163"/>
      <c r="H163"/>
    </row>
    <row r="164" spans="1:8" ht="14.4" x14ac:dyDescent="0.3">
      <c r="A164"/>
      <c r="B164"/>
      <c r="C164"/>
      <c r="D164"/>
      <c r="E164"/>
      <c r="F164"/>
      <c r="G164"/>
      <c r="H164"/>
    </row>
    <row r="165" spans="1:8" ht="14.4" x14ac:dyDescent="0.3">
      <c r="A165"/>
      <c r="B165"/>
      <c r="C165"/>
      <c r="D165"/>
      <c r="E165"/>
      <c r="F165"/>
      <c r="G165"/>
      <c r="H165"/>
    </row>
    <row r="166" spans="1:8" ht="14.4" x14ac:dyDescent="0.3">
      <c r="A166"/>
      <c r="B166"/>
      <c r="C166"/>
      <c r="D166"/>
      <c r="E166"/>
      <c r="F166"/>
      <c r="G166"/>
      <c r="H166"/>
    </row>
    <row r="167" spans="1:8" ht="14.4" x14ac:dyDescent="0.3">
      <c r="A167"/>
      <c r="B167"/>
      <c r="C167"/>
      <c r="D167"/>
      <c r="E167"/>
      <c r="F167"/>
      <c r="G167"/>
      <c r="H167"/>
    </row>
    <row r="168" spans="1:8" ht="14.4" x14ac:dyDescent="0.3">
      <c r="A168"/>
      <c r="B168"/>
      <c r="C168"/>
      <c r="D168"/>
      <c r="E168"/>
      <c r="F168"/>
      <c r="G168"/>
      <c r="H168"/>
    </row>
    <row r="169" spans="1:8" ht="14.4" x14ac:dyDescent="0.3">
      <c r="A169"/>
      <c r="B169"/>
      <c r="C169"/>
      <c r="D169"/>
      <c r="E169"/>
      <c r="F169"/>
      <c r="G169"/>
      <c r="H169"/>
    </row>
    <row r="170" spans="1:8" ht="14.4" x14ac:dyDescent="0.3">
      <c r="A170"/>
      <c r="B170"/>
      <c r="C170"/>
      <c r="D170"/>
      <c r="E170"/>
      <c r="F170"/>
      <c r="G170"/>
      <c r="H170"/>
    </row>
    <row r="171" spans="1:8" ht="14.4" x14ac:dyDescent="0.3">
      <c r="A171"/>
      <c r="B171"/>
      <c r="C171"/>
      <c r="D171"/>
      <c r="E171"/>
      <c r="F171"/>
      <c r="G171"/>
      <c r="H171"/>
    </row>
    <row r="172" spans="1:8" ht="14.4" x14ac:dyDescent="0.3">
      <c r="A172"/>
      <c r="B172"/>
      <c r="C172"/>
      <c r="D172"/>
      <c r="E172"/>
      <c r="F172"/>
      <c r="G172"/>
      <c r="H172"/>
    </row>
    <row r="173" spans="1:8" ht="14.4" x14ac:dyDescent="0.3">
      <c r="A173"/>
      <c r="B173"/>
      <c r="C173"/>
      <c r="D173"/>
      <c r="E173"/>
      <c r="F173"/>
      <c r="G173"/>
      <c r="H173"/>
    </row>
    <row r="174" spans="1:8" ht="14.4" x14ac:dyDescent="0.3">
      <c r="A174"/>
      <c r="B174"/>
      <c r="C174"/>
      <c r="D174"/>
      <c r="E174"/>
      <c r="F174"/>
      <c r="G174"/>
      <c r="H174"/>
    </row>
    <row r="175" spans="1:8" ht="14.4" x14ac:dyDescent="0.3">
      <c r="A175"/>
      <c r="B175"/>
      <c r="C175"/>
      <c r="D175"/>
      <c r="E175"/>
      <c r="F175"/>
      <c r="G175"/>
      <c r="H175"/>
    </row>
    <row r="176" spans="1:8" ht="14.4" x14ac:dyDescent="0.3">
      <c r="A176"/>
      <c r="B176"/>
      <c r="C176"/>
      <c r="D176"/>
      <c r="E176"/>
      <c r="F176"/>
      <c r="G176"/>
      <c r="H176"/>
    </row>
    <row r="177" spans="1:8" ht="14.4" x14ac:dyDescent="0.3">
      <c r="A177"/>
      <c r="B177"/>
      <c r="C177"/>
      <c r="D177"/>
      <c r="E177"/>
      <c r="F177"/>
      <c r="G177"/>
      <c r="H177"/>
    </row>
    <row r="178" spans="1:8" ht="14.4" x14ac:dyDescent="0.3">
      <c r="A178"/>
      <c r="B178"/>
      <c r="C178"/>
      <c r="D178"/>
      <c r="E178"/>
      <c r="F178"/>
      <c r="G178"/>
      <c r="H178"/>
    </row>
    <row r="179" spans="1:8" ht="14.4" x14ac:dyDescent="0.3">
      <c r="A179"/>
      <c r="B179"/>
      <c r="C179"/>
      <c r="D179"/>
      <c r="E179"/>
      <c r="F179"/>
      <c r="G179"/>
      <c r="H179"/>
    </row>
    <row r="180" spans="1:8" ht="14.4" x14ac:dyDescent="0.3">
      <c r="A180"/>
      <c r="B180"/>
      <c r="C180"/>
      <c r="D180"/>
      <c r="E180"/>
      <c r="F180"/>
      <c r="G180"/>
      <c r="H180"/>
    </row>
    <row r="181" spans="1:8" ht="14.4" x14ac:dyDescent="0.3">
      <c r="A181"/>
      <c r="B181"/>
      <c r="C181"/>
      <c r="D181"/>
      <c r="E181"/>
      <c r="F181"/>
      <c r="G181"/>
      <c r="H181"/>
    </row>
    <row r="182" spans="1:8" ht="14.4" x14ac:dyDescent="0.3">
      <c r="A182"/>
      <c r="B182"/>
      <c r="C182"/>
      <c r="D182"/>
      <c r="E182"/>
      <c r="F182"/>
      <c r="G182"/>
      <c r="H182"/>
    </row>
    <row r="183" spans="1:8" ht="14.4" x14ac:dyDescent="0.3">
      <c r="A183"/>
      <c r="B183"/>
      <c r="C183"/>
      <c r="D183"/>
      <c r="E183"/>
      <c r="F183"/>
      <c r="G183"/>
      <c r="H183"/>
    </row>
    <row r="184" spans="1:8" ht="14.4" x14ac:dyDescent="0.3">
      <c r="A184"/>
      <c r="B184"/>
      <c r="C184"/>
      <c r="D184"/>
      <c r="E184"/>
      <c r="F184"/>
      <c r="G184"/>
      <c r="H184"/>
    </row>
    <row r="185" spans="1:8" ht="14.4" x14ac:dyDescent="0.3">
      <c r="A185"/>
      <c r="B185"/>
      <c r="C185"/>
      <c r="D185"/>
      <c r="E185"/>
      <c r="F185"/>
      <c r="G185"/>
      <c r="H185"/>
    </row>
    <row r="186" spans="1:8" ht="14.4" x14ac:dyDescent="0.3">
      <c r="A186"/>
      <c r="B186"/>
      <c r="C186"/>
      <c r="D186"/>
      <c r="E186"/>
      <c r="F186"/>
      <c r="G186"/>
      <c r="H186"/>
    </row>
    <row r="187" spans="1:8" ht="14.4" x14ac:dyDescent="0.3">
      <c r="A187"/>
      <c r="B187"/>
      <c r="C187"/>
      <c r="D187"/>
      <c r="E187"/>
      <c r="F187"/>
      <c r="G187"/>
      <c r="H187"/>
    </row>
    <row r="188" spans="1:8" ht="14.4" x14ac:dyDescent="0.3">
      <c r="A188"/>
      <c r="B188"/>
      <c r="C188"/>
      <c r="D188"/>
      <c r="E188"/>
      <c r="F188"/>
      <c r="G188"/>
      <c r="H188"/>
    </row>
    <row r="189" spans="1:8" ht="14.4" x14ac:dyDescent="0.3">
      <c r="A189"/>
      <c r="B189"/>
      <c r="C189"/>
      <c r="D189"/>
      <c r="E189"/>
      <c r="F189"/>
      <c r="G189"/>
      <c r="H189"/>
    </row>
    <row r="190" spans="1:8" ht="14.4" x14ac:dyDescent="0.3">
      <c r="A190"/>
      <c r="B190"/>
      <c r="C190"/>
      <c r="D190"/>
      <c r="E190"/>
      <c r="F190"/>
      <c r="G190"/>
      <c r="H190"/>
    </row>
    <row r="191" spans="1:8" ht="14.4" x14ac:dyDescent="0.3">
      <c r="A191"/>
      <c r="B191"/>
      <c r="C191"/>
      <c r="D191"/>
      <c r="E191"/>
      <c r="F191"/>
      <c r="G191"/>
      <c r="H191"/>
    </row>
    <row r="192" spans="1:8" ht="14.4" x14ac:dyDescent="0.3">
      <c r="A192"/>
      <c r="B192"/>
      <c r="C192"/>
      <c r="D192"/>
      <c r="E192"/>
      <c r="F192"/>
      <c r="G192"/>
      <c r="H192"/>
    </row>
    <row r="193" spans="1:8" ht="14.4" x14ac:dyDescent="0.3">
      <c r="A193"/>
      <c r="B193"/>
      <c r="C193"/>
      <c r="D193"/>
      <c r="E193"/>
      <c r="F193"/>
      <c r="G193"/>
      <c r="H193"/>
    </row>
    <row r="194" spans="1:8" ht="14.4" x14ac:dyDescent="0.3">
      <c r="A194"/>
      <c r="B194"/>
      <c r="C194"/>
      <c r="D194"/>
      <c r="E194"/>
      <c r="F194"/>
      <c r="G194"/>
      <c r="H194"/>
    </row>
    <row r="195" spans="1:8" ht="14.4" x14ac:dyDescent="0.3">
      <c r="A195"/>
      <c r="B195"/>
      <c r="C195"/>
      <c r="D195"/>
      <c r="E195"/>
      <c r="F195"/>
      <c r="G195"/>
      <c r="H195"/>
    </row>
    <row r="196" spans="1:8" ht="14.4" x14ac:dyDescent="0.3">
      <c r="A196"/>
      <c r="B196"/>
      <c r="C196"/>
      <c r="D196"/>
      <c r="E196"/>
      <c r="F196"/>
      <c r="G196"/>
      <c r="H196"/>
    </row>
    <row r="197" spans="1:8" ht="14.4" x14ac:dyDescent="0.3">
      <c r="A197"/>
      <c r="B197"/>
      <c r="C197"/>
      <c r="D197"/>
      <c r="E197"/>
      <c r="F197"/>
      <c r="G197"/>
      <c r="H197"/>
    </row>
    <row r="198" spans="1:8" ht="14.4" x14ac:dyDescent="0.3">
      <c r="A198"/>
      <c r="B198"/>
      <c r="C198"/>
      <c r="D198"/>
      <c r="E198"/>
      <c r="F198"/>
      <c r="G198"/>
      <c r="H198"/>
    </row>
    <row r="199" spans="1:8" ht="14.4" x14ac:dyDescent="0.3">
      <c r="A199"/>
      <c r="B199"/>
      <c r="C199"/>
      <c r="D199"/>
      <c r="E199"/>
      <c r="F199"/>
      <c r="G199"/>
      <c r="H199"/>
    </row>
    <row r="200" spans="1:8" ht="14.4" x14ac:dyDescent="0.3">
      <c r="A200"/>
      <c r="B200"/>
      <c r="C200"/>
      <c r="D200"/>
      <c r="E200"/>
      <c r="F200"/>
      <c r="G200"/>
      <c r="H200"/>
    </row>
    <row r="201" spans="1:8" ht="14.4" x14ac:dyDescent="0.3">
      <c r="A201"/>
      <c r="B201"/>
      <c r="C201"/>
      <c r="D201"/>
      <c r="E201"/>
      <c r="F201"/>
      <c r="G201"/>
      <c r="H201"/>
    </row>
    <row r="202" spans="1:8" ht="14.4" x14ac:dyDescent="0.3">
      <c r="A202"/>
      <c r="B202"/>
      <c r="C202"/>
      <c r="D202"/>
      <c r="E202"/>
      <c r="F202"/>
      <c r="G202"/>
      <c r="H202"/>
    </row>
    <row r="203" spans="1:8" ht="14.4" x14ac:dyDescent="0.3">
      <c r="A203"/>
      <c r="B203"/>
      <c r="C203"/>
      <c r="D203"/>
      <c r="E203"/>
      <c r="F203"/>
      <c r="G203"/>
      <c r="H203"/>
    </row>
    <row r="204" spans="1:8" ht="14.4" x14ac:dyDescent="0.3">
      <c r="A204"/>
      <c r="B204"/>
      <c r="C204"/>
      <c r="D204"/>
      <c r="E204"/>
      <c r="F204"/>
      <c r="G204"/>
      <c r="H204"/>
    </row>
    <row r="205" spans="1:8" ht="14.4" x14ac:dyDescent="0.3">
      <c r="A205"/>
      <c r="B205"/>
      <c r="C205"/>
      <c r="D205"/>
      <c r="E205"/>
      <c r="F205"/>
      <c r="G205"/>
      <c r="H205"/>
    </row>
    <row r="206" spans="1:8" ht="14.4" x14ac:dyDescent="0.3">
      <c r="A206"/>
      <c r="B206"/>
      <c r="C206"/>
      <c r="D206"/>
      <c r="E206"/>
      <c r="F206"/>
      <c r="G206"/>
      <c r="H206"/>
    </row>
    <row r="207" spans="1:8" ht="14.4" x14ac:dyDescent="0.3">
      <c r="A207"/>
      <c r="B207"/>
      <c r="C207"/>
      <c r="D207"/>
      <c r="E207"/>
      <c r="F207"/>
      <c r="G207"/>
      <c r="H207"/>
    </row>
    <row r="208" spans="1:8" ht="14.4" x14ac:dyDescent="0.3">
      <c r="A208"/>
      <c r="B208"/>
      <c r="C208"/>
      <c r="D208"/>
      <c r="E208"/>
      <c r="F208"/>
      <c r="G208"/>
      <c r="H208"/>
    </row>
    <row r="209" spans="1:8" ht="14.4" x14ac:dyDescent="0.3">
      <c r="A209"/>
      <c r="B209"/>
      <c r="C209"/>
      <c r="D209"/>
      <c r="E209"/>
      <c r="F209"/>
      <c r="G209"/>
      <c r="H209"/>
    </row>
    <row r="210" spans="1:8" ht="14.4" x14ac:dyDescent="0.3">
      <c r="A210"/>
      <c r="B210"/>
      <c r="C210"/>
      <c r="D210"/>
      <c r="E210"/>
      <c r="F210"/>
      <c r="G210"/>
      <c r="H210"/>
    </row>
    <row r="211" spans="1:8" ht="14.4" x14ac:dyDescent="0.3">
      <c r="A211"/>
      <c r="B211"/>
      <c r="C211"/>
      <c r="D211"/>
      <c r="E211"/>
      <c r="F211"/>
      <c r="G211"/>
      <c r="H211"/>
    </row>
    <row r="212" spans="1:8" ht="14.4" x14ac:dyDescent="0.3">
      <c r="A212"/>
      <c r="B212"/>
      <c r="C212"/>
      <c r="D212"/>
      <c r="E212"/>
      <c r="F212"/>
      <c r="G212"/>
      <c r="H212"/>
    </row>
    <row r="213" spans="1:8" ht="14.4" x14ac:dyDescent="0.3">
      <c r="A213"/>
      <c r="B213"/>
      <c r="C213"/>
      <c r="D213"/>
      <c r="E213"/>
      <c r="F213"/>
      <c r="G213"/>
      <c r="H213"/>
    </row>
    <row r="214" spans="1:8" ht="14.4" x14ac:dyDescent="0.3">
      <c r="A214"/>
      <c r="B214"/>
      <c r="C214"/>
      <c r="D214"/>
      <c r="E214"/>
      <c r="F214"/>
      <c r="G214"/>
      <c r="H214"/>
    </row>
    <row r="215" spans="1:8" ht="14.4" x14ac:dyDescent="0.3">
      <c r="A215"/>
      <c r="B215"/>
      <c r="C215"/>
      <c r="D215"/>
      <c r="E215"/>
      <c r="F215"/>
      <c r="G215"/>
      <c r="H215"/>
    </row>
    <row r="216" spans="1:8" ht="14.4" x14ac:dyDescent="0.3">
      <c r="A216"/>
      <c r="B216"/>
      <c r="C216"/>
      <c r="D216"/>
      <c r="E216"/>
      <c r="F216"/>
      <c r="G216"/>
      <c r="H216"/>
    </row>
    <row r="217" spans="1:8" ht="14.4" x14ac:dyDescent="0.3">
      <c r="A217"/>
      <c r="B217"/>
      <c r="C217"/>
      <c r="D217"/>
      <c r="E217"/>
      <c r="F217"/>
      <c r="G217"/>
      <c r="H217"/>
    </row>
    <row r="218" spans="1:8" ht="14.4" x14ac:dyDescent="0.3">
      <c r="A218"/>
      <c r="B218"/>
      <c r="C218"/>
      <c r="D218"/>
      <c r="E218"/>
      <c r="F218"/>
      <c r="G218"/>
      <c r="H218"/>
    </row>
    <row r="219" spans="1:8" ht="14.4" x14ac:dyDescent="0.3">
      <c r="A219"/>
      <c r="B219"/>
      <c r="C219"/>
      <c r="D219"/>
      <c r="E219"/>
      <c r="F219"/>
      <c r="G219"/>
      <c r="H219"/>
    </row>
    <row r="220" spans="1:8" ht="14.4" x14ac:dyDescent="0.3">
      <c r="A220"/>
      <c r="B220"/>
      <c r="C220"/>
      <c r="D220"/>
      <c r="E220"/>
      <c r="F220"/>
      <c r="G220"/>
      <c r="H220"/>
    </row>
    <row r="221" spans="1:8" ht="14.4" x14ac:dyDescent="0.3">
      <c r="A221"/>
      <c r="B221"/>
      <c r="C221"/>
      <c r="D221"/>
      <c r="E221"/>
      <c r="F221"/>
      <c r="G221"/>
      <c r="H221"/>
    </row>
    <row r="222" spans="1:8" ht="14.4" x14ac:dyDescent="0.3">
      <c r="A222"/>
      <c r="B222"/>
      <c r="C222"/>
      <c r="D222"/>
      <c r="E222"/>
      <c r="F222"/>
      <c r="G222"/>
      <c r="H222"/>
    </row>
    <row r="223" spans="1:8" ht="14.4" x14ac:dyDescent="0.3">
      <c r="A223"/>
      <c r="B223"/>
      <c r="C223"/>
      <c r="D223"/>
      <c r="E223"/>
      <c r="F223"/>
      <c r="G223"/>
      <c r="H223"/>
    </row>
    <row r="224" spans="1:8" ht="14.4" x14ac:dyDescent="0.3">
      <c r="A224"/>
      <c r="B224"/>
      <c r="C224"/>
      <c r="D224"/>
      <c r="E224"/>
      <c r="F224"/>
      <c r="G224"/>
      <c r="H224"/>
    </row>
    <row r="225" spans="1:8" ht="14.4" x14ac:dyDescent="0.3">
      <c r="A225"/>
      <c r="B225"/>
      <c r="C225"/>
      <c r="D225"/>
      <c r="E225"/>
      <c r="F225"/>
      <c r="G225"/>
      <c r="H225"/>
    </row>
    <row r="226" spans="1:8" ht="14.4" x14ac:dyDescent="0.3">
      <c r="A226"/>
      <c r="B226"/>
      <c r="C226"/>
      <c r="D226"/>
      <c r="E226"/>
      <c r="F226"/>
      <c r="G226"/>
      <c r="H226"/>
    </row>
    <row r="227" spans="1:8" ht="14.4" x14ac:dyDescent="0.3">
      <c r="A227"/>
      <c r="B227"/>
      <c r="C227"/>
      <c r="D227"/>
      <c r="E227"/>
      <c r="F227"/>
      <c r="G227"/>
      <c r="H227"/>
    </row>
    <row r="228" spans="1:8" ht="14.4" x14ac:dyDescent="0.3">
      <c r="A228"/>
      <c r="B228"/>
      <c r="C228"/>
      <c r="D228"/>
      <c r="E228"/>
      <c r="F228"/>
      <c r="G228"/>
      <c r="H228"/>
    </row>
    <row r="229" spans="1:8" ht="14.4" x14ac:dyDescent="0.3">
      <c r="A229"/>
      <c r="B229"/>
      <c r="C229"/>
      <c r="D229"/>
      <c r="E229"/>
      <c r="F229"/>
      <c r="G229"/>
      <c r="H229"/>
    </row>
    <row r="230" spans="1:8" ht="14.4" x14ac:dyDescent="0.3">
      <c r="A230"/>
      <c r="B230"/>
      <c r="C230"/>
      <c r="D230"/>
      <c r="E230"/>
      <c r="F230"/>
      <c r="G230"/>
      <c r="H230"/>
    </row>
    <row r="231" spans="1:8" ht="14.4" x14ac:dyDescent="0.3">
      <c r="A231"/>
      <c r="B231"/>
      <c r="C231"/>
      <c r="D231"/>
      <c r="E231"/>
      <c r="F231"/>
      <c r="G231"/>
      <c r="H231"/>
    </row>
    <row r="232" spans="1:8" ht="14.4" x14ac:dyDescent="0.3">
      <c r="A232"/>
      <c r="B232"/>
      <c r="C232"/>
      <c r="D232"/>
      <c r="E232"/>
      <c r="F232"/>
      <c r="G232"/>
      <c r="H232"/>
    </row>
    <row r="233" spans="1:8" ht="14.4" x14ac:dyDescent="0.3">
      <c r="A233"/>
      <c r="B233"/>
      <c r="C233"/>
      <c r="D233"/>
      <c r="E233"/>
      <c r="F233"/>
      <c r="G233"/>
      <c r="H233"/>
    </row>
    <row r="234" spans="1:8" ht="14.4" x14ac:dyDescent="0.3">
      <c r="A234"/>
      <c r="B234"/>
      <c r="C234"/>
      <c r="D234"/>
      <c r="E234"/>
      <c r="F234"/>
      <c r="G234"/>
      <c r="H234"/>
    </row>
    <row r="235" spans="1:8" ht="14.4" x14ac:dyDescent="0.3">
      <c r="A235"/>
      <c r="B235"/>
      <c r="C235"/>
      <c r="D235"/>
      <c r="E235"/>
      <c r="F235"/>
      <c r="G235"/>
      <c r="H235"/>
    </row>
    <row r="236" spans="1:8" ht="14.4" x14ac:dyDescent="0.3">
      <c r="A236"/>
      <c r="B236"/>
      <c r="C236"/>
      <c r="D236"/>
      <c r="E236"/>
      <c r="F236"/>
      <c r="G236"/>
      <c r="H236"/>
    </row>
    <row r="237" spans="1:8" ht="14.4" x14ac:dyDescent="0.3">
      <c r="A237"/>
      <c r="B237"/>
      <c r="C237"/>
      <c r="D237"/>
      <c r="E237"/>
      <c r="F237"/>
      <c r="G237"/>
      <c r="H237"/>
    </row>
    <row r="238" spans="1:8" ht="14.4" x14ac:dyDescent="0.3">
      <c r="A238"/>
      <c r="B238"/>
      <c r="C238"/>
      <c r="D238"/>
      <c r="E238"/>
      <c r="F238"/>
      <c r="G238"/>
      <c r="H238"/>
    </row>
    <row r="239" spans="1:8" ht="14.4" x14ac:dyDescent="0.3">
      <c r="A239"/>
      <c r="B239"/>
      <c r="C239"/>
      <c r="D239"/>
      <c r="E239"/>
      <c r="F239"/>
      <c r="G239"/>
      <c r="H239"/>
    </row>
    <row r="240" spans="1:8" ht="14.4" x14ac:dyDescent="0.3">
      <c r="A240"/>
      <c r="B240"/>
      <c r="C240"/>
      <c r="D240"/>
      <c r="E240"/>
      <c r="F240"/>
      <c r="G240"/>
      <c r="H240"/>
    </row>
    <row r="241" spans="1:8" ht="14.4" x14ac:dyDescent="0.3">
      <c r="A241"/>
      <c r="B241"/>
      <c r="C241"/>
      <c r="D241"/>
      <c r="E241"/>
      <c r="F241"/>
      <c r="G241"/>
      <c r="H241"/>
    </row>
    <row r="242" spans="1:8" ht="14.4" x14ac:dyDescent="0.3">
      <c r="A242"/>
      <c r="B242"/>
      <c r="C242"/>
      <c r="D242"/>
      <c r="E242"/>
      <c r="F242"/>
      <c r="G242"/>
      <c r="H242"/>
    </row>
    <row r="243" spans="1:8" ht="14.4" x14ac:dyDescent="0.3">
      <c r="A243"/>
      <c r="B243"/>
      <c r="C243"/>
      <c r="D243"/>
      <c r="E243"/>
      <c r="F243"/>
      <c r="G243"/>
      <c r="H243"/>
    </row>
    <row r="244" spans="1:8" ht="14.4" x14ac:dyDescent="0.3">
      <c r="A244"/>
      <c r="B244"/>
      <c r="C244"/>
      <c r="D244"/>
      <c r="E244"/>
      <c r="F244"/>
      <c r="G244"/>
      <c r="H244"/>
    </row>
    <row r="245" spans="1:8" ht="14.4" x14ac:dyDescent="0.3">
      <c r="A245"/>
      <c r="B245"/>
      <c r="C245"/>
      <c r="D245"/>
      <c r="E245"/>
      <c r="F245"/>
      <c r="G245"/>
      <c r="H245"/>
    </row>
    <row r="246" spans="1:8" ht="14.4" x14ac:dyDescent="0.3">
      <c r="A246"/>
      <c r="B246"/>
      <c r="C246"/>
      <c r="D246"/>
      <c r="E246"/>
      <c r="F246"/>
      <c r="G246"/>
      <c r="H246"/>
    </row>
    <row r="247" spans="1:8" ht="14.4" x14ac:dyDescent="0.3">
      <c r="A247"/>
      <c r="B247"/>
      <c r="C247"/>
      <c r="D247"/>
      <c r="E247"/>
      <c r="F247"/>
      <c r="G247"/>
      <c r="H247"/>
    </row>
    <row r="248" spans="1:8" ht="14.4" x14ac:dyDescent="0.3">
      <c r="A248"/>
      <c r="B248"/>
      <c r="C248"/>
      <c r="D248"/>
      <c r="E248"/>
      <c r="F248"/>
      <c r="G248"/>
      <c r="H248"/>
    </row>
    <row r="249" spans="1:8" ht="14.4" x14ac:dyDescent="0.3">
      <c r="A249"/>
      <c r="B249"/>
      <c r="C249"/>
      <c r="D249"/>
      <c r="E249"/>
      <c r="F249"/>
      <c r="G249"/>
      <c r="H249"/>
    </row>
    <row r="250" spans="1:8" ht="14.4" x14ac:dyDescent="0.3">
      <c r="A250"/>
      <c r="B250"/>
      <c r="C250"/>
      <c r="D250"/>
      <c r="E250"/>
      <c r="F250"/>
      <c r="G250"/>
      <c r="H250"/>
    </row>
    <row r="251" spans="1:8" ht="14.4" x14ac:dyDescent="0.3">
      <c r="A251"/>
      <c r="B251"/>
      <c r="C251"/>
      <c r="D251"/>
      <c r="E251"/>
      <c r="F251"/>
      <c r="G251"/>
      <c r="H251"/>
    </row>
    <row r="252" spans="1:8" ht="14.4" x14ac:dyDescent="0.3">
      <c r="A252"/>
      <c r="B252"/>
      <c r="C252"/>
      <c r="D252"/>
      <c r="E252"/>
      <c r="F252"/>
      <c r="G252"/>
      <c r="H252"/>
    </row>
    <row r="253" spans="1:8" ht="14.4" x14ac:dyDescent="0.3">
      <c r="A253"/>
      <c r="B253"/>
      <c r="C253"/>
      <c r="D253"/>
      <c r="E253"/>
      <c r="F253"/>
      <c r="G253"/>
      <c r="H253"/>
    </row>
    <row r="254" spans="1:8" ht="14.4" x14ac:dyDescent="0.3">
      <c r="A254"/>
      <c r="B254"/>
      <c r="C254"/>
      <c r="D254"/>
      <c r="E254"/>
      <c r="F254"/>
      <c r="G254"/>
      <c r="H254"/>
    </row>
    <row r="255" spans="1:8" ht="14.4" x14ac:dyDescent="0.3">
      <c r="A255"/>
      <c r="B255"/>
      <c r="C255"/>
      <c r="D255"/>
      <c r="E255"/>
      <c r="F255"/>
      <c r="G255"/>
      <c r="H255"/>
    </row>
    <row r="256" spans="1:8" ht="14.4" x14ac:dyDescent="0.3">
      <c r="A256"/>
      <c r="B256"/>
      <c r="C256"/>
      <c r="D256"/>
      <c r="E256"/>
      <c r="F256"/>
      <c r="G256"/>
      <c r="H256"/>
    </row>
    <row r="257" spans="1:8" ht="14.4" x14ac:dyDescent="0.3">
      <c r="A257"/>
      <c r="B257"/>
      <c r="C257"/>
      <c r="D257"/>
      <c r="E257"/>
      <c r="F257"/>
      <c r="G257"/>
      <c r="H257"/>
    </row>
    <row r="258" spans="1:8" ht="14.4" x14ac:dyDescent="0.3">
      <c r="A258"/>
      <c r="B258"/>
      <c r="C258"/>
      <c r="D258"/>
      <c r="E258"/>
      <c r="F258"/>
      <c r="G258"/>
      <c r="H258"/>
    </row>
    <row r="259" spans="1:8" ht="14.4" x14ac:dyDescent="0.3">
      <c r="A259"/>
      <c r="B259"/>
      <c r="C259"/>
      <c r="D259"/>
      <c r="E259"/>
      <c r="F259"/>
      <c r="G259"/>
      <c r="H259"/>
    </row>
    <row r="260" spans="1:8" ht="14.4" x14ac:dyDescent="0.3">
      <c r="A260"/>
      <c r="B260"/>
      <c r="C260"/>
      <c r="D260"/>
      <c r="E260"/>
      <c r="F260"/>
      <c r="G260"/>
      <c r="H260"/>
    </row>
    <row r="261" spans="1:8" ht="14.4" x14ac:dyDescent="0.3">
      <c r="A261"/>
      <c r="B261"/>
      <c r="C261"/>
      <c r="D261"/>
      <c r="E261"/>
      <c r="F261"/>
      <c r="G261"/>
      <c r="H261"/>
    </row>
    <row r="262" spans="1:8" ht="14.4" x14ac:dyDescent="0.3">
      <c r="A262"/>
      <c r="B262"/>
      <c r="C262"/>
      <c r="D262"/>
      <c r="E262"/>
      <c r="F262"/>
      <c r="G262"/>
      <c r="H262"/>
    </row>
    <row r="263" spans="1:8" ht="14.4" x14ac:dyDescent="0.3">
      <c r="A263"/>
      <c r="B263"/>
      <c r="C263"/>
      <c r="D263"/>
      <c r="E263"/>
      <c r="F263"/>
      <c r="G263"/>
      <c r="H263"/>
    </row>
    <row r="264" spans="1:8" ht="14.4" x14ac:dyDescent="0.3">
      <c r="A264"/>
      <c r="B264"/>
      <c r="C264"/>
      <c r="D264"/>
      <c r="E264"/>
      <c r="F264"/>
      <c r="G264"/>
      <c r="H264"/>
    </row>
    <row r="265" spans="1:8" ht="14.4" x14ac:dyDescent="0.3">
      <c r="A265"/>
      <c r="B265"/>
      <c r="C265"/>
      <c r="D265"/>
      <c r="E265"/>
      <c r="F265"/>
      <c r="G265"/>
      <c r="H265"/>
    </row>
    <row r="266" spans="1:8" ht="14.4" x14ac:dyDescent="0.3">
      <c r="A266"/>
      <c r="B266"/>
      <c r="C266"/>
      <c r="D266"/>
      <c r="E266"/>
      <c r="F266"/>
      <c r="G266"/>
      <c r="H266"/>
    </row>
    <row r="267" spans="1:8" ht="14.4" x14ac:dyDescent="0.3">
      <c r="A267"/>
      <c r="B267"/>
      <c r="C267"/>
      <c r="D267"/>
      <c r="E267"/>
      <c r="F267"/>
      <c r="G267"/>
      <c r="H267"/>
    </row>
    <row r="268" spans="1:8" ht="14.4" x14ac:dyDescent="0.3">
      <c r="A268"/>
      <c r="B268"/>
      <c r="C268"/>
      <c r="D268"/>
      <c r="E268"/>
      <c r="F268"/>
      <c r="G268"/>
      <c r="H268"/>
    </row>
    <row r="269" spans="1:8" ht="14.4" x14ac:dyDescent="0.3">
      <c r="A269"/>
      <c r="B269"/>
      <c r="C269"/>
      <c r="D269"/>
      <c r="E269"/>
      <c r="F269"/>
      <c r="G269"/>
      <c r="H269"/>
    </row>
    <row r="270" spans="1:8" ht="14.4" x14ac:dyDescent="0.3">
      <c r="A270"/>
      <c r="B270"/>
      <c r="C270"/>
      <c r="D270"/>
      <c r="E270"/>
      <c r="F270"/>
      <c r="G270"/>
      <c r="H270"/>
    </row>
    <row r="271" spans="1:8" ht="14.4" x14ac:dyDescent="0.3">
      <c r="A271"/>
      <c r="B271"/>
      <c r="C271"/>
      <c r="D271"/>
      <c r="E271"/>
      <c r="F271"/>
      <c r="G271"/>
      <c r="H271"/>
    </row>
    <row r="272" spans="1:8" ht="14.4" x14ac:dyDescent="0.3">
      <c r="A272"/>
      <c r="B272"/>
      <c r="C272"/>
      <c r="D272"/>
      <c r="E272"/>
      <c r="F272"/>
      <c r="G272"/>
      <c r="H272"/>
    </row>
    <row r="273" spans="1:8" ht="14.4" x14ac:dyDescent="0.3">
      <c r="A273"/>
      <c r="B273"/>
      <c r="C273"/>
      <c r="D273"/>
      <c r="E273"/>
      <c r="F273"/>
      <c r="G273"/>
      <c r="H273"/>
    </row>
    <row r="274" spans="1:8" ht="14.4" x14ac:dyDescent="0.3">
      <c r="A274"/>
      <c r="B274"/>
      <c r="C274"/>
      <c r="D274"/>
      <c r="E274"/>
      <c r="F274"/>
      <c r="G274"/>
      <c r="H274"/>
    </row>
    <row r="275" spans="1:8" ht="14.4" x14ac:dyDescent="0.3">
      <c r="A275"/>
      <c r="B275"/>
      <c r="C275"/>
      <c r="D275"/>
      <c r="E275"/>
      <c r="F275"/>
      <c r="G275"/>
      <c r="H275"/>
    </row>
    <row r="276" spans="1:8" ht="14.4" x14ac:dyDescent="0.3">
      <c r="A276"/>
      <c r="B276"/>
      <c r="C276"/>
      <c r="D276"/>
      <c r="E276"/>
      <c r="F276"/>
      <c r="G276"/>
      <c r="H276"/>
    </row>
    <row r="277" spans="1:8" ht="14.4" x14ac:dyDescent="0.3">
      <c r="A277"/>
      <c r="B277"/>
      <c r="C277"/>
      <c r="D277"/>
      <c r="E277"/>
      <c r="F277"/>
      <c r="G277"/>
      <c r="H277"/>
    </row>
    <row r="278" spans="1:8" ht="14.4" x14ac:dyDescent="0.3">
      <c r="A278"/>
      <c r="B278"/>
      <c r="C278"/>
      <c r="D278"/>
      <c r="E278"/>
      <c r="F278"/>
      <c r="G278"/>
      <c r="H278"/>
    </row>
    <row r="279" spans="1:8" ht="14.4" x14ac:dyDescent="0.3">
      <c r="A279"/>
      <c r="B279"/>
      <c r="C279"/>
      <c r="D279"/>
      <c r="E279"/>
      <c r="F279"/>
      <c r="G279"/>
      <c r="H279"/>
    </row>
    <row r="280" spans="1:8" ht="14.4" x14ac:dyDescent="0.3">
      <c r="A280"/>
      <c r="B280"/>
      <c r="C280"/>
      <c r="D280"/>
      <c r="E280"/>
      <c r="F280"/>
      <c r="G280"/>
      <c r="H280"/>
    </row>
    <row r="281" spans="1:8" ht="14.4" x14ac:dyDescent="0.3">
      <c r="A281"/>
      <c r="B281"/>
      <c r="C281"/>
      <c r="D281"/>
      <c r="E281"/>
      <c r="F281"/>
      <c r="G281"/>
      <c r="H281"/>
    </row>
    <row r="282" spans="1:8" ht="14.4" x14ac:dyDescent="0.3">
      <c r="A282"/>
      <c r="B282"/>
      <c r="C282"/>
      <c r="D282"/>
      <c r="E282"/>
      <c r="F282"/>
      <c r="G282"/>
      <c r="H282"/>
    </row>
    <row r="283" spans="1:8" ht="14.4" x14ac:dyDescent="0.3">
      <c r="A283"/>
      <c r="B283"/>
      <c r="C283"/>
      <c r="D283"/>
      <c r="E283"/>
      <c r="F283"/>
      <c r="G283"/>
      <c r="H283"/>
    </row>
    <row r="284" spans="1:8" ht="14.4" x14ac:dyDescent="0.3">
      <c r="A284"/>
      <c r="B284"/>
      <c r="C284"/>
      <c r="D284"/>
      <c r="E284"/>
      <c r="F284"/>
      <c r="G284"/>
      <c r="H284"/>
    </row>
    <row r="285" spans="1:8" ht="14.4" x14ac:dyDescent="0.3">
      <c r="A285"/>
      <c r="B285"/>
      <c r="C285"/>
      <c r="D285"/>
      <c r="E285"/>
      <c r="F285"/>
      <c r="G285"/>
      <c r="H285"/>
    </row>
    <row r="286" spans="1:8" ht="14.4" x14ac:dyDescent="0.3">
      <c r="A286"/>
      <c r="B286"/>
      <c r="C286"/>
      <c r="D286"/>
      <c r="E286"/>
      <c r="F286"/>
      <c r="G286"/>
      <c r="H286"/>
    </row>
    <row r="287" spans="1:8" ht="14.4" x14ac:dyDescent="0.3">
      <c r="A287"/>
      <c r="B287"/>
      <c r="C287"/>
      <c r="D287"/>
      <c r="E287"/>
      <c r="F287"/>
      <c r="G287"/>
      <c r="H287"/>
    </row>
    <row r="288" spans="1:8" ht="14.4" x14ac:dyDescent="0.3">
      <c r="A288"/>
      <c r="B288"/>
      <c r="C288"/>
      <c r="D288"/>
      <c r="E288"/>
      <c r="F288"/>
      <c r="G288"/>
      <c r="H288"/>
    </row>
    <row r="289" spans="1:8" ht="14.4" x14ac:dyDescent="0.3">
      <c r="A289"/>
      <c r="B289"/>
      <c r="C289"/>
      <c r="D289"/>
      <c r="E289"/>
      <c r="F289"/>
      <c r="G289"/>
      <c r="H289"/>
    </row>
    <row r="290" spans="1:8" ht="14.4" x14ac:dyDescent="0.3">
      <c r="A290"/>
      <c r="B290"/>
      <c r="C290"/>
      <c r="D290"/>
      <c r="E290"/>
      <c r="F290"/>
      <c r="G290"/>
      <c r="H290"/>
    </row>
    <row r="291" spans="1:8" ht="14.4" x14ac:dyDescent="0.3">
      <c r="A291"/>
      <c r="B291"/>
      <c r="C291"/>
      <c r="D291"/>
      <c r="E291"/>
      <c r="F291"/>
      <c r="G291"/>
      <c r="H291"/>
    </row>
    <row r="292" spans="1:8" ht="14.4" x14ac:dyDescent="0.3">
      <c r="A292"/>
      <c r="B292"/>
      <c r="C292"/>
      <c r="D292"/>
      <c r="E292"/>
      <c r="F292"/>
      <c r="G292"/>
      <c r="H292"/>
    </row>
    <row r="293" spans="1:8" ht="14.4" x14ac:dyDescent="0.3">
      <c r="A293"/>
      <c r="B293"/>
      <c r="C293"/>
      <c r="D293"/>
      <c r="E293"/>
      <c r="F293"/>
      <c r="G293"/>
      <c r="H293"/>
    </row>
    <row r="294" spans="1:8" ht="14.4" x14ac:dyDescent="0.3">
      <c r="A294"/>
      <c r="B294"/>
      <c r="C294"/>
      <c r="D294"/>
      <c r="E294"/>
      <c r="F294"/>
      <c r="G294"/>
      <c r="H294"/>
    </row>
    <row r="295" spans="1:8" ht="14.4" x14ac:dyDescent="0.3">
      <c r="A295"/>
      <c r="B295"/>
      <c r="C295"/>
      <c r="D295"/>
      <c r="E295"/>
      <c r="F295"/>
      <c r="G295"/>
      <c r="H295"/>
    </row>
    <row r="296" spans="1:8" ht="14.4" x14ac:dyDescent="0.3">
      <c r="A296"/>
      <c r="B296"/>
      <c r="C296"/>
      <c r="D296"/>
      <c r="E296"/>
      <c r="F296"/>
      <c r="G296"/>
      <c r="H296"/>
    </row>
    <row r="297" spans="1:8" ht="14.4" x14ac:dyDescent="0.3">
      <c r="A297"/>
      <c r="B297"/>
      <c r="C297"/>
      <c r="D297"/>
      <c r="E297"/>
      <c r="F297"/>
      <c r="G297"/>
      <c r="H297"/>
    </row>
    <row r="298" spans="1:8" ht="14.4" x14ac:dyDescent="0.3">
      <c r="A298"/>
      <c r="B298"/>
      <c r="C298"/>
      <c r="D298"/>
      <c r="E298"/>
      <c r="F298"/>
      <c r="G298"/>
      <c r="H298"/>
    </row>
    <row r="299" spans="1:8" ht="14.4" x14ac:dyDescent="0.3">
      <c r="A299"/>
      <c r="B299"/>
      <c r="C299"/>
      <c r="D299"/>
      <c r="E299"/>
      <c r="F299"/>
      <c r="G299"/>
      <c r="H299"/>
    </row>
    <row r="300" spans="1:8" ht="14.4" x14ac:dyDescent="0.3">
      <c r="A300"/>
      <c r="B300"/>
      <c r="C300"/>
      <c r="D300"/>
      <c r="E300"/>
      <c r="F300"/>
      <c r="G300"/>
      <c r="H300"/>
    </row>
    <row r="301" spans="1:8" ht="14.4" x14ac:dyDescent="0.3">
      <c r="A301"/>
      <c r="B301"/>
      <c r="C301"/>
      <c r="D301"/>
      <c r="E301"/>
      <c r="F301"/>
      <c r="G301"/>
      <c r="H301"/>
    </row>
    <row r="302" spans="1:8" ht="14.4" x14ac:dyDescent="0.3">
      <c r="A302"/>
      <c r="B302"/>
      <c r="C302"/>
      <c r="D302"/>
      <c r="E302"/>
      <c r="F302"/>
      <c r="G302"/>
      <c r="H302"/>
    </row>
    <row r="303" spans="1:8" ht="14.4" x14ac:dyDescent="0.3">
      <c r="A303"/>
      <c r="B303"/>
      <c r="C303"/>
      <c r="D303"/>
      <c r="E303"/>
      <c r="F303"/>
      <c r="G303"/>
      <c r="H303"/>
    </row>
    <row r="304" spans="1:8" ht="14.4" x14ac:dyDescent="0.3">
      <c r="A304"/>
      <c r="B304"/>
      <c r="C304"/>
      <c r="D304"/>
      <c r="E304"/>
      <c r="F304"/>
      <c r="G304"/>
      <c r="H304"/>
    </row>
    <row r="305" spans="1:8" ht="14.4" x14ac:dyDescent="0.3">
      <c r="A305"/>
      <c r="B305"/>
      <c r="C305"/>
      <c r="D305"/>
      <c r="E305"/>
      <c r="F305"/>
      <c r="G305"/>
      <c r="H305"/>
    </row>
    <row r="306" spans="1:8" ht="14.4" x14ac:dyDescent="0.3">
      <c r="A306"/>
      <c r="B306"/>
      <c r="C306"/>
      <c r="D306"/>
      <c r="E306"/>
      <c r="F306"/>
      <c r="G306"/>
      <c r="H306"/>
    </row>
    <row r="307" spans="1:8" ht="14.4" x14ac:dyDescent="0.3">
      <c r="A307"/>
      <c r="B307"/>
      <c r="C307"/>
      <c r="D307"/>
      <c r="E307"/>
      <c r="F307"/>
      <c r="G307"/>
      <c r="H307"/>
    </row>
    <row r="308" spans="1:8" ht="14.4" x14ac:dyDescent="0.3">
      <c r="A308"/>
      <c r="B308"/>
      <c r="C308"/>
      <c r="D308"/>
      <c r="E308"/>
      <c r="F308"/>
      <c r="G308"/>
      <c r="H308"/>
    </row>
    <row r="309" spans="1:8" ht="14.4" x14ac:dyDescent="0.3">
      <c r="A309"/>
      <c r="B309"/>
      <c r="C309"/>
      <c r="D309"/>
      <c r="E309"/>
      <c r="F309"/>
      <c r="G309"/>
      <c r="H309"/>
    </row>
    <row r="310" spans="1:8" ht="14.4" x14ac:dyDescent="0.3">
      <c r="A310"/>
      <c r="B310"/>
      <c r="C310"/>
      <c r="D310"/>
      <c r="E310"/>
      <c r="F310"/>
      <c r="G310"/>
      <c r="H310"/>
    </row>
    <row r="311" spans="1:8" ht="14.4" x14ac:dyDescent="0.3">
      <c r="A311"/>
      <c r="B311"/>
      <c r="C311"/>
      <c r="D311"/>
      <c r="E311"/>
      <c r="F311"/>
      <c r="G311"/>
      <c r="H311"/>
    </row>
    <row r="312" spans="1:8" ht="14.4" x14ac:dyDescent="0.3">
      <c r="A312"/>
      <c r="B312"/>
      <c r="C312"/>
      <c r="D312"/>
      <c r="E312"/>
      <c r="F312"/>
      <c r="G312"/>
      <c r="H312"/>
    </row>
    <row r="313" spans="1:8" ht="14.4" x14ac:dyDescent="0.3">
      <c r="A313"/>
      <c r="B313"/>
      <c r="C313"/>
      <c r="D313"/>
      <c r="E313"/>
      <c r="F313"/>
      <c r="G313"/>
      <c r="H313"/>
    </row>
    <row r="314" spans="1:8" ht="14.4" x14ac:dyDescent="0.3">
      <c r="A314"/>
      <c r="B314"/>
      <c r="C314"/>
      <c r="D314"/>
      <c r="E314"/>
      <c r="F314"/>
      <c r="G314"/>
      <c r="H314"/>
    </row>
    <row r="315" spans="1:8" ht="14.4" x14ac:dyDescent="0.3">
      <c r="A315"/>
      <c r="B315"/>
      <c r="C315"/>
      <c r="D315"/>
      <c r="E315"/>
      <c r="F315"/>
      <c r="G315"/>
      <c r="H315"/>
    </row>
    <row r="316" spans="1:8" ht="14.4" x14ac:dyDescent="0.3">
      <c r="A316"/>
      <c r="B316"/>
      <c r="C316"/>
      <c r="D316"/>
      <c r="E316"/>
      <c r="F316"/>
      <c r="G316"/>
      <c r="H316"/>
    </row>
    <row r="317" spans="1:8" ht="14.4" x14ac:dyDescent="0.3">
      <c r="A317"/>
      <c r="B317"/>
      <c r="C317"/>
      <c r="D317"/>
      <c r="E317"/>
      <c r="F317"/>
      <c r="G317"/>
      <c r="H317"/>
    </row>
    <row r="318" spans="1:8" ht="14.4" x14ac:dyDescent="0.3">
      <c r="A318"/>
      <c r="B318"/>
      <c r="C318"/>
      <c r="D318"/>
      <c r="E318"/>
      <c r="F318"/>
      <c r="G318"/>
      <c r="H318"/>
    </row>
    <row r="319" spans="1:8" ht="14.4" x14ac:dyDescent="0.3">
      <c r="A319"/>
      <c r="B319"/>
      <c r="C319"/>
      <c r="D319"/>
      <c r="E319"/>
      <c r="F319"/>
      <c r="G319"/>
      <c r="H319"/>
    </row>
    <row r="320" spans="1:8" ht="14.4" x14ac:dyDescent="0.3">
      <c r="A320"/>
      <c r="B320"/>
      <c r="C320"/>
      <c r="D320"/>
      <c r="E320"/>
      <c r="F320"/>
      <c r="G320"/>
      <c r="H320"/>
    </row>
    <row r="321" spans="1:8" ht="14.4" x14ac:dyDescent="0.3">
      <c r="A321"/>
      <c r="B321"/>
      <c r="C321"/>
      <c r="D321"/>
      <c r="E321"/>
      <c r="F321"/>
      <c r="G321"/>
      <c r="H321"/>
    </row>
    <row r="322" spans="1:8" ht="14.4" x14ac:dyDescent="0.3">
      <c r="A322"/>
      <c r="B322"/>
      <c r="C322"/>
      <c r="D322"/>
      <c r="E322"/>
      <c r="F322"/>
      <c r="G322"/>
      <c r="H322"/>
    </row>
    <row r="323" spans="1:8" ht="14.4" x14ac:dyDescent="0.3">
      <c r="A323"/>
      <c r="B323"/>
      <c r="C323"/>
      <c r="D323"/>
      <c r="E323"/>
      <c r="F323"/>
      <c r="G323"/>
      <c r="H323"/>
    </row>
    <row r="324" spans="1:8" ht="14.4" x14ac:dyDescent="0.3">
      <c r="A324"/>
      <c r="B324"/>
      <c r="C324"/>
      <c r="D324"/>
      <c r="E324"/>
      <c r="F324"/>
      <c r="G324"/>
      <c r="H324"/>
    </row>
    <row r="325" spans="1:8" ht="14.4" x14ac:dyDescent="0.3">
      <c r="A325"/>
      <c r="B325"/>
      <c r="C325"/>
      <c r="D325"/>
      <c r="E325"/>
      <c r="F325"/>
      <c r="G325"/>
      <c r="H325"/>
    </row>
    <row r="326" spans="1:8" ht="14.4" x14ac:dyDescent="0.3">
      <c r="A326"/>
      <c r="B326"/>
      <c r="C326"/>
      <c r="D326"/>
      <c r="E326"/>
      <c r="F326"/>
      <c r="G326"/>
      <c r="H326"/>
    </row>
    <row r="327" spans="1:8" ht="14.4" x14ac:dyDescent="0.3">
      <c r="A327"/>
      <c r="B327"/>
      <c r="C327"/>
      <c r="D327"/>
      <c r="E327"/>
      <c r="F327"/>
      <c r="G327"/>
      <c r="H327"/>
    </row>
    <row r="328" spans="1:8" ht="14.4" x14ac:dyDescent="0.3">
      <c r="A328"/>
      <c r="B328"/>
      <c r="C328"/>
      <c r="D328"/>
      <c r="E328"/>
      <c r="F328"/>
      <c r="G328"/>
      <c r="H328"/>
    </row>
    <row r="329" spans="1:8" ht="14.4" x14ac:dyDescent="0.3">
      <c r="A329"/>
      <c r="B329"/>
      <c r="C329"/>
      <c r="D329"/>
      <c r="E329"/>
      <c r="F329"/>
      <c r="G329"/>
      <c r="H329"/>
    </row>
    <row r="330" spans="1:8" ht="14.4" x14ac:dyDescent="0.3">
      <c r="A330"/>
      <c r="B330"/>
      <c r="C330"/>
      <c r="D330"/>
      <c r="E330"/>
      <c r="F330"/>
      <c r="G330"/>
      <c r="H330"/>
    </row>
    <row r="331" spans="1:8" ht="14.4" x14ac:dyDescent="0.3">
      <c r="A331"/>
      <c r="B331"/>
      <c r="C331"/>
      <c r="D331"/>
      <c r="E331"/>
      <c r="F331"/>
      <c r="G331"/>
      <c r="H331"/>
    </row>
    <row r="332" spans="1:8" ht="14.4" x14ac:dyDescent="0.3">
      <c r="A332"/>
      <c r="B332"/>
      <c r="C332"/>
      <c r="D332"/>
      <c r="E332"/>
      <c r="F332"/>
      <c r="G332"/>
      <c r="H332"/>
    </row>
    <row r="333" spans="1:8" ht="14.4" x14ac:dyDescent="0.3">
      <c r="A333"/>
      <c r="B333"/>
      <c r="C333"/>
      <c r="D333"/>
      <c r="E333"/>
      <c r="F333"/>
      <c r="G333"/>
      <c r="H333"/>
    </row>
    <row r="334" spans="1:8" ht="14.4" x14ac:dyDescent="0.3">
      <c r="A334"/>
      <c r="B334"/>
      <c r="C334"/>
      <c r="D334"/>
      <c r="E334"/>
      <c r="F334"/>
      <c r="G334"/>
      <c r="H334"/>
    </row>
    <row r="335" spans="1:8" ht="14.4" x14ac:dyDescent="0.3">
      <c r="A335"/>
      <c r="B335"/>
      <c r="C335"/>
      <c r="D335"/>
      <c r="E335"/>
      <c r="F335"/>
      <c r="G335"/>
      <c r="H335"/>
    </row>
    <row r="336" spans="1:8" ht="14.4" x14ac:dyDescent="0.3">
      <c r="A336"/>
      <c r="B336"/>
      <c r="C336"/>
      <c r="D336"/>
      <c r="E336"/>
      <c r="F336"/>
      <c r="G336"/>
      <c r="H336"/>
    </row>
    <row r="337" spans="1:8" ht="14.4" x14ac:dyDescent="0.3">
      <c r="A337"/>
      <c r="B337"/>
      <c r="C337"/>
      <c r="D337"/>
      <c r="E337"/>
      <c r="F337"/>
      <c r="G337"/>
      <c r="H337"/>
    </row>
    <row r="338" spans="1:8" ht="14.4" x14ac:dyDescent="0.3">
      <c r="A338"/>
      <c r="B338"/>
      <c r="C338"/>
      <c r="D338"/>
      <c r="E338"/>
      <c r="F338"/>
      <c r="G338"/>
      <c r="H338"/>
    </row>
    <row r="339" spans="1:8" ht="14.4" x14ac:dyDescent="0.3">
      <c r="A339"/>
      <c r="B339"/>
      <c r="C339"/>
      <c r="D339"/>
      <c r="E339"/>
      <c r="F339"/>
      <c r="G339"/>
      <c r="H339"/>
    </row>
    <row r="340" spans="1:8" ht="14.4" x14ac:dyDescent="0.3">
      <c r="A340"/>
      <c r="B340"/>
      <c r="C340"/>
      <c r="D340"/>
      <c r="E340"/>
      <c r="F340"/>
      <c r="G340"/>
      <c r="H340"/>
    </row>
    <row r="341" spans="1:8" ht="14.4" x14ac:dyDescent="0.3">
      <c r="A341"/>
      <c r="B341"/>
      <c r="C341"/>
      <c r="D341"/>
      <c r="E341"/>
      <c r="F341"/>
      <c r="G341"/>
      <c r="H341"/>
    </row>
    <row r="342" spans="1:8" ht="14.4" x14ac:dyDescent="0.3">
      <c r="A342"/>
      <c r="B342"/>
      <c r="C342"/>
      <c r="D342"/>
      <c r="E342"/>
      <c r="F342"/>
      <c r="G342"/>
      <c r="H342"/>
    </row>
    <row r="343" spans="1:8" ht="14.4" x14ac:dyDescent="0.3">
      <c r="A343"/>
      <c r="B343"/>
      <c r="C343"/>
      <c r="D343"/>
      <c r="E343"/>
      <c r="F343"/>
      <c r="G343"/>
      <c r="H343"/>
    </row>
    <row r="344" spans="1:8" ht="14.4" x14ac:dyDescent="0.3">
      <c r="A344"/>
      <c r="B344"/>
      <c r="C344"/>
      <c r="D344"/>
      <c r="E344"/>
      <c r="F344"/>
      <c r="G344"/>
      <c r="H344"/>
    </row>
    <row r="345" spans="1:8" ht="14.4" x14ac:dyDescent="0.3">
      <c r="A345"/>
      <c r="B345"/>
      <c r="C345"/>
      <c r="D345"/>
      <c r="E345"/>
      <c r="F345"/>
      <c r="G345"/>
      <c r="H345"/>
    </row>
    <row r="346" spans="1:8" ht="14.4" x14ac:dyDescent="0.3">
      <c r="A346"/>
      <c r="B346"/>
      <c r="C346"/>
      <c r="D346"/>
      <c r="E346"/>
      <c r="F346"/>
      <c r="G346"/>
      <c r="H346"/>
    </row>
    <row r="347" spans="1:8" ht="14.4" x14ac:dyDescent="0.3">
      <c r="A347"/>
      <c r="B347"/>
      <c r="C347"/>
      <c r="D347"/>
      <c r="E347"/>
      <c r="F347"/>
      <c r="G347"/>
      <c r="H347"/>
    </row>
    <row r="348" spans="1:8" ht="14.4" x14ac:dyDescent="0.3">
      <c r="A348"/>
      <c r="B348"/>
      <c r="C348"/>
      <c r="D348"/>
      <c r="E348"/>
      <c r="F348"/>
      <c r="G348"/>
      <c r="H348"/>
    </row>
    <row r="349" spans="1:8" ht="14.4" x14ac:dyDescent="0.3">
      <c r="A349"/>
      <c r="B349"/>
      <c r="C349"/>
      <c r="D349"/>
      <c r="E349"/>
      <c r="F349"/>
      <c r="G349"/>
      <c r="H349"/>
    </row>
    <row r="350" spans="1:8" ht="14.4" x14ac:dyDescent="0.3">
      <c r="A350"/>
      <c r="B350"/>
      <c r="C350"/>
      <c r="D350"/>
      <c r="E350"/>
      <c r="F350"/>
      <c r="G350"/>
      <c r="H350"/>
    </row>
    <row r="351" spans="1:8" ht="14.4" x14ac:dyDescent="0.3">
      <c r="A351"/>
      <c r="B351"/>
      <c r="C351"/>
      <c r="D351"/>
      <c r="E351"/>
      <c r="F351"/>
      <c r="G351"/>
      <c r="H351"/>
    </row>
    <row r="352" spans="1:8" ht="14.4" x14ac:dyDescent="0.3">
      <c r="A352"/>
      <c r="B352"/>
      <c r="C352"/>
      <c r="D352"/>
      <c r="E352"/>
      <c r="F352"/>
      <c r="G352"/>
      <c r="H352"/>
    </row>
    <row r="353" spans="1:8" ht="14.4" x14ac:dyDescent="0.3">
      <c r="A353"/>
      <c r="B353"/>
      <c r="C353"/>
      <c r="D353"/>
      <c r="E353"/>
      <c r="F353"/>
      <c r="G353"/>
      <c r="H353"/>
    </row>
    <row r="354" spans="1:8" ht="14.4" x14ac:dyDescent="0.3">
      <c r="A354"/>
      <c r="B354"/>
      <c r="C354"/>
      <c r="D354"/>
      <c r="E354"/>
      <c r="F354"/>
      <c r="G354"/>
      <c r="H354"/>
    </row>
    <row r="355" spans="1:8" ht="14.4" x14ac:dyDescent="0.3">
      <c r="A355"/>
      <c r="B355"/>
      <c r="C355"/>
      <c r="D355"/>
      <c r="E355"/>
      <c r="F355"/>
      <c r="G355"/>
      <c r="H355"/>
    </row>
    <row r="356" spans="1:8" ht="14.4" x14ac:dyDescent="0.3">
      <c r="A356"/>
      <c r="B356"/>
      <c r="C356"/>
      <c r="D356"/>
      <c r="E356"/>
      <c r="F356"/>
      <c r="G356"/>
      <c r="H356"/>
    </row>
    <row r="357" spans="1:8" ht="14.4" x14ac:dyDescent="0.3">
      <c r="A357"/>
      <c r="B357"/>
      <c r="C357"/>
      <c r="D357"/>
      <c r="E357"/>
      <c r="F357"/>
      <c r="G357"/>
      <c r="H357"/>
    </row>
    <row r="358" spans="1:8" ht="14.4" x14ac:dyDescent="0.3">
      <c r="A358"/>
      <c r="B358"/>
      <c r="C358"/>
      <c r="D358"/>
      <c r="E358"/>
      <c r="F358"/>
      <c r="G358"/>
      <c r="H358"/>
    </row>
    <row r="359" spans="1:8" ht="14.4" x14ac:dyDescent="0.3">
      <c r="A359"/>
      <c r="B359"/>
      <c r="C359"/>
      <c r="D359"/>
      <c r="E359"/>
      <c r="F359"/>
      <c r="G359"/>
      <c r="H359"/>
    </row>
    <row r="360" spans="1:8" ht="14.4" x14ac:dyDescent="0.3">
      <c r="A360"/>
      <c r="B360"/>
      <c r="C360"/>
      <c r="D360"/>
      <c r="E360"/>
      <c r="F360"/>
      <c r="G360"/>
      <c r="H360"/>
    </row>
    <row r="361" spans="1:8" ht="14.4" x14ac:dyDescent="0.3">
      <c r="A361"/>
      <c r="B361"/>
      <c r="C361"/>
      <c r="D361"/>
      <c r="E361"/>
      <c r="F361"/>
      <c r="G361"/>
      <c r="H361"/>
    </row>
    <row r="362" spans="1:8" ht="14.4" x14ac:dyDescent="0.3">
      <c r="A362"/>
      <c r="B362"/>
      <c r="C362"/>
      <c r="D362"/>
      <c r="E362"/>
      <c r="F362"/>
      <c r="G362"/>
      <c r="H362"/>
    </row>
    <row r="363" spans="1:8" ht="14.4" x14ac:dyDescent="0.3">
      <c r="A363"/>
      <c r="B363"/>
      <c r="C363"/>
      <c r="D363"/>
      <c r="E363"/>
      <c r="F363"/>
      <c r="G363"/>
      <c r="H363"/>
    </row>
    <row r="364" spans="1:8" ht="14.4" x14ac:dyDescent="0.3">
      <c r="A364"/>
      <c r="B364"/>
      <c r="C364"/>
      <c r="D364"/>
      <c r="E364"/>
      <c r="F364"/>
      <c r="G364"/>
      <c r="H364"/>
    </row>
    <row r="365" spans="1:8" ht="14.4" x14ac:dyDescent="0.3">
      <c r="A365"/>
      <c r="B365"/>
      <c r="C365"/>
      <c r="D365"/>
      <c r="E365"/>
      <c r="F365"/>
      <c r="G365"/>
      <c r="H365"/>
    </row>
    <row r="366" spans="1:8" ht="14.4" x14ac:dyDescent="0.3">
      <c r="A366"/>
      <c r="B366"/>
      <c r="C366"/>
      <c r="D366"/>
      <c r="E366"/>
      <c r="F366"/>
      <c r="G366"/>
      <c r="H366"/>
    </row>
    <row r="367" spans="1:8" ht="14.4" x14ac:dyDescent="0.3">
      <c r="A367"/>
      <c r="B367"/>
      <c r="C367"/>
      <c r="D367"/>
      <c r="E367"/>
      <c r="F367"/>
      <c r="G367"/>
      <c r="H367"/>
    </row>
    <row r="368" spans="1:8" ht="14.4" x14ac:dyDescent="0.3">
      <c r="A368"/>
      <c r="B368"/>
      <c r="C368"/>
      <c r="D368"/>
      <c r="E368"/>
      <c r="F368"/>
      <c r="G368"/>
      <c r="H368"/>
    </row>
    <row r="369" spans="1:8" ht="14.4" x14ac:dyDescent="0.3">
      <c r="A369"/>
      <c r="B369"/>
      <c r="C369"/>
      <c r="D369"/>
      <c r="E369"/>
      <c r="F369"/>
      <c r="G369"/>
      <c r="H369"/>
    </row>
    <row r="370" spans="1:8" ht="14.4" x14ac:dyDescent="0.3">
      <c r="A370"/>
      <c r="B370"/>
      <c r="C370"/>
      <c r="D370"/>
      <c r="E370"/>
      <c r="F370"/>
      <c r="G370"/>
      <c r="H370"/>
    </row>
    <row r="371" spans="1:8" ht="14.4" x14ac:dyDescent="0.3">
      <c r="A371"/>
      <c r="B371"/>
      <c r="C371"/>
      <c r="D371"/>
      <c r="E371"/>
      <c r="F371"/>
      <c r="G371"/>
      <c r="H371"/>
    </row>
    <row r="372" spans="1:8" ht="14.4" x14ac:dyDescent="0.3">
      <c r="A372"/>
      <c r="B372"/>
      <c r="C372"/>
      <c r="D372"/>
      <c r="E372"/>
      <c r="F372"/>
      <c r="G372"/>
      <c r="H372"/>
    </row>
    <row r="373" spans="1:8" ht="14.4" x14ac:dyDescent="0.3">
      <c r="A373"/>
      <c r="B373"/>
      <c r="C373"/>
      <c r="D373"/>
      <c r="E373"/>
      <c r="F373"/>
      <c r="G373"/>
      <c r="H373"/>
    </row>
    <row r="374" spans="1:8" ht="14.4" x14ac:dyDescent="0.3">
      <c r="A374"/>
      <c r="B374"/>
      <c r="C374"/>
      <c r="D374"/>
      <c r="E374"/>
      <c r="F374"/>
      <c r="G374"/>
      <c r="H374"/>
    </row>
    <row r="375" spans="1:8" ht="14.4" x14ac:dyDescent="0.3">
      <c r="A375"/>
      <c r="B375"/>
      <c r="C375"/>
      <c r="D375"/>
      <c r="E375"/>
      <c r="F375"/>
      <c r="G375"/>
      <c r="H375"/>
    </row>
    <row r="376" spans="1:8" ht="14.4" x14ac:dyDescent="0.3">
      <c r="A376"/>
      <c r="B376"/>
      <c r="C376"/>
      <c r="D376"/>
      <c r="E376"/>
      <c r="F376"/>
      <c r="G376"/>
      <c r="H376"/>
    </row>
    <row r="377" spans="1:8" ht="14.4" x14ac:dyDescent="0.3">
      <c r="A377"/>
      <c r="B377"/>
      <c r="C377"/>
      <c r="D377"/>
      <c r="E377"/>
      <c r="F377"/>
      <c r="G377"/>
      <c r="H377"/>
    </row>
    <row r="378" spans="1:8" ht="14.4" x14ac:dyDescent="0.3">
      <c r="A378"/>
      <c r="B378"/>
      <c r="C378"/>
      <c r="D378"/>
      <c r="E378"/>
      <c r="F378"/>
      <c r="G378"/>
      <c r="H378"/>
    </row>
    <row r="379" spans="1:8" ht="14.4" x14ac:dyDescent="0.3">
      <c r="A379"/>
      <c r="B379"/>
      <c r="C379"/>
      <c r="D379"/>
      <c r="E379"/>
      <c r="F379"/>
      <c r="G379"/>
      <c r="H379"/>
    </row>
    <row r="380" spans="1:8" ht="14.4" x14ac:dyDescent="0.3">
      <c r="A380"/>
      <c r="B380"/>
      <c r="C380"/>
      <c r="D380"/>
      <c r="E380"/>
      <c r="F380"/>
      <c r="G380"/>
      <c r="H380"/>
    </row>
    <row r="381" spans="1:8" ht="14.4" x14ac:dyDescent="0.3">
      <c r="A381"/>
      <c r="B381"/>
      <c r="C381"/>
      <c r="D381"/>
      <c r="E381"/>
      <c r="F381"/>
      <c r="G381"/>
      <c r="H381"/>
    </row>
    <row r="382" spans="1:8" ht="14.4" x14ac:dyDescent="0.3">
      <c r="A382"/>
      <c r="B382"/>
      <c r="C382"/>
      <c r="D382"/>
      <c r="E382"/>
      <c r="F382"/>
      <c r="G382"/>
      <c r="H382"/>
    </row>
    <row r="383" spans="1:8" ht="14.4" x14ac:dyDescent="0.3">
      <c r="A383"/>
      <c r="B383"/>
      <c r="C383"/>
      <c r="D383"/>
      <c r="E383"/>
      <c r="F383"/>
      <c r="G383"/>
      <c r="H383"/>
    </row>
    <row r="384" spans="1:8" ht="14.4" x14ac:dyDescent="0.3">
      <c r="A384"/>
      <c r="B384"/>
      <c r="C384"/>
      <c r="D384"/>
      <c r="E384"/>
      <c r="F384"/>
      <c r="G384"/>
      <c r="H384"/>
    </row>
    <row r="385" spans="1:8" ht="14.4" x14ac:dyDescent="0.3">
      <c r="A385"/>
      <c r="B385"/>
      <c r="C385"/>
      <c r="D385"/>
      <c r="E385"/>
      <c r="F385"/>
      <c r="G385"/>
      <c r="H385"/>
    </row>
    <row r="386" spans="1:8" ht="14.4" x14ac:dyDescent="0.3">
      <c r="A386"/>
      <c r="B386"/>
      <c r="C386"/>
      <c r="D386"/>
      <c r="E386"/>
      <c r="F386"/>
      <c r="G386"/>
      <c r="H386"/>
    </row>
    <row r="387" spans="1:8" ht="14.4" x14ac:dyDescent="0.3">
      <c r="A387"/>
      <c r="B387"/>
      <c r="C387"/>
      <c r="D387"/>
      <c r="E387"/>
      <c r="F387"/>
      <c r="G387"/>
      <c r="H387"/>
    </row>
    <row r="388" spans="1:8" ht="14.4" x14ac:dyDescent="0.3">
      <c r="A388"/>
      <c r="B388"/>
      <c r="C388"/>
      <c r="D388"/>
      <c r="E388"/>
      <c r="F388"/>
      <c r="G388"/>
      <c r="H388"/>
    </row>
    <row r="389" spans="1:8" ht="14.4" x14ac:dyDescent="0.3">
      <c r="A389"/>
      <c r="B389"/>
      <c r="C389"/>
      <c r="D389"/>
      <c r="E389"/>
      <c r="F389"/>
      <c r="G389"/>
      <c r="H389"/>
    </row>
    <row r="390" spans="1:8" ht="14.4" x14ac:dyDescent="0.3">
      <c r="A390"/>
      <c r="B390"/>
      <c r="C390"/>
      <c r="D390"/>
      <c r="E390"/>
      <c r="F390"/>
      <c r="G390"/>
      <c r="H390"/>
    </row>
    <row r="391" spans="1:8" ht="14.4" x14ac:dyDescent="0.3">
      <c r="A391"/>
      <c r="B391"/>
      <c r="C391"/>
      <c r="D391"/>
      <c r="E391"/>
      <c r="F391"/>
      <c r="G391"/>
      <c r="H391"/>
    </row>
    <row r="392" spans="1:8" ht="14.4" x14ac:dyDescent="0.3">
      <c r="A392"/>
      <c r="B392"/>
      <c r="C392"/>
      <c r="D392"/>
      <c r="E392"/>
      <c r="F392"/>
      <c r="G392"/>
      <c r="H392"/>
    </row>
    <row r="393" spans="1:8" ht="14.4" x14ac:dyDescent="0.3">
      <c r="A393"/>
      <c r="B393"/>
      <c r="C393"/>
      <c r="D393"/>
      <c r="E393"/>
      <c r="F393"/>
      <c r="G393"/>
      <c r="H393"/>
    </row>
    <row r="394" spans="1:8" ht="14.4" x14ac:dyDescent="0.3">
      <c r="A394"/>
      <c r="B394"/>
      <c r="C394"/>
      <c r="D394"/>
      <c r="E394"/>
      <c r="F394"/>
      <c r="G394"/>
      <c r="H394"/>
    </row>
    <row r="395" spans="1:8" ht="14.4" x14ac:dyDescent="0.3">
      <c r="A395"/>
      <c r="B395"/>
      <c r="C395"/>
      <c r="D395"/>
      <c r="E395"/>
      <c r="F395"/>
      <c r="G395"/>
      <c r="H395"/>
    </row>
    <row r="396" spans="1:8" ht="14.4" x14ac:dyDescent="0.3">
      <c r="A396"/>
      <c r="B396"/>
      <c r="C396"/>
      <c r="D396"/>
      <c r="E396"/>
      <c r="F396"/>
      <c r="G396"/>
      <c r="H396"/>
    </row>
    <row r="397" spans="1:8" ht="14.4" x14ac:dyDescent="0.3">
      <c r="A397"/>
      <c r="B397"/>
      <c r="C397"/>
      <c r="D397"/>
      <c r="E397"/>
      <c r="F397"/>
      <c r="G397"/>
      <c r="H397"/>
    </row>
    <row r="398" spans="1:8" ht="14.4" x14ac:dyDescent="0.3">
      <c r="A398"/>
      <c r="B398"/>
      <c r="C398"/>
      <c r="D398"/>
      <c r="E398"/>
      <c r="F398"/>
      <c r="G398"/>
      <c r="H398"/>
    </row>
    <row r="399" spans="1:8" ht="14.4" x14ac:dyDescent="0.3">
      <c r="A399"/>
      <c r="B399"/>
      <c r="C399"/>
      <c r="D399"/>
      <c r="E399"/>
      <c r="F399"/>
      <c r="G399"/>
      <c r="H399"/>
    </row>
    <row r="400" spans="1:8" ht="14.4" x14ac:dyDescent="0.3">
      <c r="A400"/>
      <c r="B400"/>
      <c r="C400"/>
      <c r="D400"/>
      <c r="E400"/>
      <c r="F400"/>
      <c r="G400"/>
      <c r="H400"/>
    </row>
    <row r="401" spans="1:8" ht="14.4" x14ac:dyDescent="0.3">
      <c r="A401"/>
      <c r="B401"/>
      <c r="C401"/>
      <c r="D401"/>
      <c r="E401"/>
      <c r="F401"/>
      <c r="G401"/>
      <c r="H401"/>
    </row>
    <row r="402" spans="1:8" ht="14.4" x14ac:dyDescent="0.3">
      <c r="A402"/>
      <c r="B402"/>
      <c r="C402"/>
      <c r="D402"/>
      <c r="E402"/>
      <c r="F402"/>
      <c r="G402"/>
      <c r="H402"/>
    </row>
    <row r="403" spans="1:8" ht="14.4" x14ac:dyDescent="0.3">
      <c r="A403"/>
      <c r="B403"/>
      <c r="C403"/>
      <c r="D403"/>
      <c r="E403"/>
      <c r="F403"/>
      <c r="G403"/>
      <c r="H403"/>
    </row>
    <row r="404" spans="1:8" ht="14.4" x14ac:dyDescent="0.3">
      <c r="A404"/>
      <c r="B404"/>
      <c r="C404"/>
      <c r="D404"/>
      <c r="E404"/>
      <c r="F404"/>
      <c r="G404"/>
      <c r="H404"/>
    </row>
    <row r="405" spans="1:8" ht="14.4" x14ac:dyDescent="0.3">
      <c r="A405"/>
      <c r="B405"/>
      <c r="C405"/>
      <c r="D405"/>
      <c r="E405"/>
      <c r="F405"/>
      <c r="G405"/>
      <c r="H405"/>
    </row>
    <row r="406" spans="1:8" ht="14.4" x14ac:dyDescent="0.3">
      <c r="A406"/>
      <c r="B406"/>
      <c r="C406"/>
      <c r="D406"/>
      <c r="E406"/>
      <c r="F406"/>
      <c r="G406"/>
      <c r="H406"/>
    </row>
    <row r="407" spans="1:8" ht="14.4" x14ac:dyDescent="0.3">
      <c r="A407"/>
      <c r="B407"/>
      <c r="C407"/>
      <c r="D407"/>
      <c r="E407"/>
      <c r="F407"/>
      <c r="G407"/>
      <c r="H407"/>
    </row>
    <row r="408" spans="1:8" ht="14.4" x14ac:dyDescent="0.3">
      <c r="A408"/>
      <c r="B408"/>
      <c r="C408"/>
      <c r="D408"/>
      <c r="E408"/>
      <c r="F408"/>
      <c r="G408"/>
      <c r="H408"/>
    </row>
    <row r="409" spans="1:8" ht="14.4" x14ac:dyDescent="0.3">
      <c r="A409"/>
      <c r="B409"/>
      <c r="C409"/>
      <c r="D409"/>
      <c r="E409"/>
      <c r="F409"/>
      <c r="G409"/>
      <c r="H409"/>
    </row>
    <row r="410" spans="1:8" ht="14.4" x14ac:dyDescent="0.3">
      <c r="A410"/>
      <c r="B410"/>
      <c r="C410"/>
      <c r="D410"/>
      <c r="E410"/>
      <c r="F410"/>
      <c r="G410"/>
      <c r="H410"/>
    </row>
    <row r="411" spans="1:8" ht="14.4" x14ac:dyDescent="0.3">
      <c r="A411"/>
      <c r="B411"/>
      <c r="C411"/>
      <c r="D411"/>
      <c r="E411"/>
      <c r="F411"/>
      <c r="G411"/>
      <c r="H411"/>
    </row>
    <row r="412" spans="1:8" ht="14.4" x14ac:dyDescent="0.3">
      <c r="A412"/>
      <c r="B412"/>
      <c r="C412"/>
      <c r="D412"/>
      <c r="E412"/>
      <c r="F412"/>
      <c r="G412"/>
      <c r="H412"/>
    </row>
    <row r="413" spans="1:8" ht="14.4" x14ac:dyDescent="0.3">
      <c r="A413"/>
      <c r="B413"/>
      <c r="C413"/>
      <c r="D413"/>
      <c r="E413"/>
      <c r="F413"/>
      <c r="G413"/>
      <c r="H413"/>
    </row>
    <row r="414" spans="1:8" ht="14.4" x14ac:dyDescent="0.3">
      <c r="A414"/>
      <c r="B414"/>
      <c r="C414"/>
      <c r="D414"/>
      <c r="E414"/>
      <c r="F414"/>
      <c r="G414"/>
      <c r="H414"/>
    </row>
    <row r="415" spans="1:8" ht="14.4" x14ac:dyDescent="0.3">
      <c r="A415"/>
      <c r="B415"/>
      <c r="C415"/>
      <c r="D415"/>
      <c r="E415"/>
      <c r="F415"/>
      <c r="G415"/>
      <c r="H415"/>
    </row>
    <row r="416" spans="1:8" ht="14.4" x14ac:dyDescent="0.3">
      <c r="A416"/>
      <c r="B416"/>
      <c r="C416"/>
      <c r="D416"/>
      <c r="E416"/>
      <c r="F416"/>
      <c r="G416"/>
      <c r="H416"/>
    </row>
    <row r="417" spans="1:8" ht="14.4" x14ac:dyDescent="0.3">
      <c r="A417"/>
      <c r="B417"/>
      <c r="C417"/>
      <c r="D417"/>
      <c r="E417"/>
      <c r="F417"/>
      <c r="G417"/>
      <c r="H417"/>
    </row>
    <row r="418" spans="1:8" ht="14.4" x14ac:dyDescent="0.3">
      <c r="A418"/>
      <c r="B418"/>
      <c r="C418"/>
      <c r="D418"/>
      <c r="E418"/>
      <c r="F418"/>
      <c r="G418"/>
      <c r="H418"/>
    </row>
    <row r="419" spans="1:8" ht="14.4" x14ac:dyDescent="0.3">
      <c r="A419"/>
      <c r="B419"/>
      <c r="C419"/>
      <c r="D419"/>
      <c r="E419"/>
      <c r="F419"/>
      <c r="G419"/>
      <c r="H419"/>
    </row>
    <row r="420" spans="1:8" ht="14.4" x14ac:dyDescent="0.3">
      <c r="A420"/>
      <c r="B420"/>
      <c r="C420"/>
      <c r="D420"/>
      <c r="E420"/>
      <c r="F420"/>
      <c r="G420"/>
      <c r="H420"/>
    </row>
    <row r="421" spans="1:8" ht="14.4" x14ac:dyDescent="0.3">
      <c r="A421"/>
      <c r="B421"/>
      <c r="C421"/>
      <c r="D421"/>
      <c r="E421"/>
      <c r="F421"/>
      <c r="G421"/>
      <c r="H421"/>
    </row>
    <row r="422" spans="1:8" ht="14.4" x14ac:dyDescent="0.3">
      <c r="A422"/>
      <c r="B422"/>
      <c r="C422"/>
      <c r="D422"/>
      <c r="E422"/>
      <c r="F422"/>
      <c r="G422"/>
      <c r="H422"/>
    </row>
    <row r="423" spans="1:8" ht="14.4" x14ac:dyDescent="0.3">
      <c r="A423"/>
      <c r="B423"/>
      <c r="C423"/>
      <c r="D423"/>
      <c r="E423"/>
      <c r="F423"/>
      <c r="G423"/>
      <c r="H423"/>
    </row>
    <row r="424" spans="1:8" ht="14.4" x14ac:dyDescent="0.3">
      <c r="A424"/>
      <c r="B424"/>
      <c r="C424"/>
      <c r="D424"/>
      <c r="E424"/>
      <c r="F424"/>
      <c r="G424"/>
      <c r="H424"/>
    </row>
    <row r="425" spans="1:8" ht="14.4" x14ac:dyDescent="0.3">
      <c r="A425"/>
      <c r="B425"/>
      <c r="C425"/>
      <c r="D425"/>
      <c r="E425"/>
      <c r="F425"/>
      <c r="G425"/>
      <c r="H425"/>
    </row>
    <row r="426" spans="1:8" ht="14.4" x14ac:dyDescent="0.3">
      <c r="A426"/>
      <c r="B426"/>
      <c r="C426"/>
      <c r="D426"/>
      <c r="E426"/>
      <c r="F426"/>
      <c r="G426"/>
      <c r="H426"/>
    </row>
    <row r="427" spans="1:8" ht="14.4" x14ac:dyDescent="0.3">
      <c r="A427"/>
      <c r="B427"/>
      <c r="C427"/>
      <c r="D427"/>
      <c r="E427"/>
      <c r="F427"/>
      <c r="G427"/>
      <c r="H427"/>
    </row>
    <row r="428" spans="1:8" ht="14.4" x14ac:dyDescent="0.3">
      <c r="A428"/>
      <c r="B428"/>
      <c r="C428"/>
      <c r="D428"/>
      <c r="E428"/>
      <c r="F428"/>
      <c r="G428"/>
      <c r="H428"/>
    </row>
    <row r="429" spans="1:8" ht="14.4" x14ac:dyDescent="0.3">
      <c r="A429"/>
      <c r="B429"/>
      <c r="C429"/>
      <c r="D429"/>
      <c r="E429"/>
      <c r="F429"/>
      <c r="G429"/>
      <c r="H429"/>
    </row>
    <row r="430" spans="1:8" ht="14.4" x14ac:dyDescent="0.3">
      <c r="A430"/>
      <c r="B430"/>
      <c r="C430"/>
      <c r="D430"/>
      <c r="E430"/>
      <c r="F430"/>
      <c r="G430"/>
      <c r="H430"/>
    </row>
    <row r="431" spans="1:8" ht="14.4" x14ac:dyDescent="0.3">
      <c r="A431"/>
      <c r="B431"/>
      <c r="C431"/>
      <c r="D431"/>
      <c r="E431"/>
      <c r="F431"/>
      <c r="G431"/>
      <c r="H431"/>
    </row>
    <row r="432" spans="1:8" ht="14.4" x14ac:dyDescent="0.3">
      <c r="A432"/>
      <c r="B432"/>
      <c r="C432"/>
      <c r="D432"/>
      <c r="E432"/>
      <c r="F432"/>
      <c r="G432"/>
      <c r="H432"/>
    </row>
    <row r="433" spans="1:8" ht="14.4" x14ac:dyDescent="0.3">
      <c r="A433"/>
      <c r="B433"/>
      <c r="C433"/>
      <c r="D433"/>
      <c r="E433"/>
      <c r="F433"/>
      <c r="G433"/>
      <c r="H433"/>
    </row>
    <row r="434" spans="1:8" ht="14.4" x14ac:dyDescent="0.3">
      <c r="A434"/>
      <c r="B434"/>
      <c r="C434"/>
      <c r="D434"/>
      <c r="E434"/>
      <c r="F434"/>
      <c r="G434"/>
      <c r="H434"/>
    </row>
    <row r="435" spans="1:8" ht="14.4" x14ac:dyDescent="0.3">
      <c r="A435"/>
      <c r="B435"/>
      <c r="C435"/>
      <c r="D435"/>
      <c r="E435"/>
      <c r="F435"/>
      <c r="G435"/>
      <c r="H435"/>
    </row>
    <row r="436" spans="1:8" ht="14.4" x14ac:dyDescent="0.3">
      <c r="A436"/>
      <c r="B436"/>
      <c r="C436"/>
      <c r="D436"/>
      <c r="E436"/>
      <c r="F436"/>
      <c r="G436"/>
      <c r="H436"/>
    </row>
    <row r="437" spans="1:8" ht="14.4" x14ac:dyDescent="0.3">
      <c r="A437"/>
      <c r="B437"/>
      <c r="C437"/>
      <c r="D437"/>
      <c r="E437"/>
      <c r="F437"/>
      <c r="G437"/>
      <c r="H437"/>
    </row>
    <row r="438" spans="1:8" ht="14.4" x14ac:dyDescent="0.3">
      <c r="A438"/>
      <c r="B438"/>
      <c r="C438"/>
      <c r="D438"/>
      <c r="E438"/>
      <c r="F438"/>
      <c r="G438"/>
      <c r="H438"/>
    </row>
    <row r="439" spans="1:8" ht="14.4" x14ac:dyDescent="0.3">
      <c r="A439"/>
      <c r="B439"/>
      <c r="C439"/>
      <c r="D439"/>
      <c r="E439"/>
      <c r="F439"/>
      <c r="G439"/>
      <c r="H439"/>
    </row>
    <row r="440" spans="1:8" ht="14.4" x14ac:dyDescent="0.3">
      <c r="A440"/>
      <c r="B440"/>
      <c r="C440"/>
      <c r="D440"/>
      <c r="E440"/>
      <c r="F440"/>
      <c r="G440"/>
      <c r="H440"/>
    </row>
    <row r="441" spans="1:8" ht="14.4" x14ac:dyDescent="0.3">
      <c r="A441"/>
      <c r="B441"/>
      <c r="C441"/>
      <c r="D441"/>
      <c r="E441"/>
      <c r="F441"/>
      <c r="G441"/>
      <c r="H441"/>
    </row>
    <row r="442" spans="1:8" ht="14.4" x14ac:dyDescent="0.3">
      <c r="A442"/>
      <c r="B442"/>
      <c r="C442"/>
      <c r="D442"/>
      <c r="E442"/>
      <c r="F442"/>
      <c r="G442"/>
      <c r="H442"/>
    </row>
    <row r="443" spans="1:8" ht="14.4" x14ac:dyDescent="0.3">
      <c r="A443"/>
      <c r="B443"/>
      <c r="C443"/>
      <c r="D443"/>
      <c r="E443"/>
      <c r="F443"/>
      <c r="G443"/>
      <c r="H443"/>
    </row>
    <row r="444" spans="1:8" ht="14.4" x14ac:dyDescent="0.3">
      <c r="A444"/>
      <c r="B444"/>
      <c r="C444"/>
      <c r="D444"/>
      <c r="E444"/>
      <c r="F444"/>
      <c r="G444"/>
      <c r="H444"/>
    </row>
    <row r="445" spans="1:8" ht="14.4" x14ac:dyDescent="0.3">
      <c r="A445"/>
      <c r="B445"/>
      <c r="C445"/>
      <c r="D445"/>
      <c r="E445"/>
      <c r="F445"/>
      <c r="G445"/>
      <c r="H445"/>
    </row>
    <row r="446" spans="1:8" ht="14.4" x14ac:dyDescent="0.3">
      <c r="A446"/>
      <c r="B446"/>
      <c r="C446"/>
      <c r="D446"/>
      <c r="E446"/>
      <c r="F446"/>
      <c r="G446"/>
      <c r="H446"/>
    </row>
    <row r="447" spans="1:8" ht="14.4" x14ac:dyDescent="0.3">
      <c r="A447"/>
      <c r="B447"/>
      <c r="C447"/>
      <c r="D447"/>
      <c r="E447"/>
      <c r="F447"/>
      <c r="G447"/>
      <c r="H447"/>
    </row>
    <row r="448" spans="1:8" ht="14.4" x14ac:dyDescent="0.3">
      <c r="A448"/>
      <c r="B448"/>
      <c r="C448"/>
      <c r="D448"/>
      <c r="E448"/>
      <c r="F448"/>
      <c r="G448"/>
      <c r="H448"/>
    </row>
    <row r="449" spans="1:8" ht="14.4" x14ac:dyDescent="0.3">
      <c r="A449"/>
      <c r="B449"/>
      <c r="C449"/>
      <c r="D449"/>
      <c r="E449"/>
      <c r="F449"/>
      <c r="G449"/>
      <c r="H449"/>
    </row>
    <row r="450" spans="1:8" ht="14.4" x14ac:dyDescent="0.3">
      <c r="A450"/>
      <c r="B450"/>
      <c r="C450"/>
      <c r="D450"/>
      <c r="E450"/>
      <c r="F450"/>
      <c r="G450"/>
      <c r="H450"/>
    </row>
    <row r="451" spans="1:8" ht="14.4" x14ac:dyDescent="0.3">
      <c r="A451"/>
      <c r="B451"/>
      <c r="C451"/>
      <c r="D451"/>
      <c r="E451"/>
      <c r="F451"/>
      <c r="G451"/>
      <c r="H451"/>
    </row>
    <row r="452" spans="1:8" ht="14.4" x14ac:dyDescent="0.3">
      <c r="A452"/>
      <c r="B452"/>
      <c r="C452"/>
      <c r="D452"/>
      <c r="E452"/>
      <c r="F452"/>
      <c r="G452"/>
      <c r="H452"/>
    </row>
    <row r="453" spans="1:8" ht="14.4" x14ac:dyDescent="0.3">
      <c r="A453"/>
      <c r="B453"/>
      <c r="C453"/>
      <c r="D453"/>
      <c r="E453"/>
      <c r="F453"/>
      <c r="G453"/>
      <c r="H453"/>
    </row>
    <row r="454" spans="1:8" ht="14.4" x14ac:dyDescent="0.3">
      <c r="A454"/>
      <c r="B454"/>
      <c r="C454"/>
      <c r="D454"/>
      <c r="E454"/>
      <c r="F454"/>
      <c r="G454"/>
      <c r="H454"/>
    </row>
    <row r="455" spans="1:8" ht="14.4" x14ac:dyDescent="0.3">
      <c r="A455"/>
      <c r="B455"/>
      <c r="C455"/>
      <c r="D455"/>
      <c r="E455"/>
      <c r="F455"/>
      <c r="G455"/>
      <c r="H455"/>
    </row>
    <row r="456" spans="1:8" ht="14.4" x14ac:dyDescent="0.3">
      <c r="A456"/>
      <c r="B456"/>
      <c r="C456"/>
      <c r="D456"/>
      <c r="E456"/>
      <c r="F456"/>
      <c r="G456"/>
      <c r="H456"/>
    </row>
    <row r="457" spans="1:8" ht="14.4" x14ac:dyDescent="0.3">
      <c r="A457"/>
      <c r="B457"/>
      <c r="C457"/>
      <c r="D457"/>
      <c r="E457"/>
      <c r="F457"/>
      <c r="G457"/>
      <c r="H457"/>
    </row>
    <row r="458" spans="1:8" ht="14.4" x14ac:dyDescent="0.3">
      <c r="A458"/>
      <c r="B458"/>
      <c r="C458"/>
      <c r="D458"/>
      <c r="E458"/>
      <c r="F458"/>
      <c r="G458"/>
      <c r="H458"/>
    </row>
    <row r="459" spans="1:8" ht="14.4" x14ac:dyDescent="0.3">
      <c r="A459"/>
      <c r="B459"/>
      <c r="C459"/>
      <c r="D459"/>
      <c r="E459"/>
      <c r="F459"/>
      <c r="G459"/>
      <c r="H459"/>
    </row>
    <row r="460" spans="1:8" ht="14.4" x14ac:dyDescent="0.3">
      <c r="A460"/>
      <c r="B460"/>
      <c r="C460"/>
      <c r="D460"/>
      <c r="E460"/>
      <c r="F460"/>
      <c r="G460"/>
      <c r="H460"/>
    </row>
    <row r="461" spans="1:8" ht="14.4" x14ac:dyDescent="0.3">
      <c r="A461"/>
      <c r="B461"/>
      <c r="C461"/>
      <c r="D461"/>
      <c r="E461"/>
      <c r="F461"/>
      <c r="G461"/>
      <c r="H461"/>
    </row>
    <row r="462" spans="1:8" ht="14.4" x14ac:dyDescent="0.3">
      <c r="A462"/>
      <c r="B462"/>
      <c r="C462"/>
      <c r="D462"/>
      <c r="E462"/>
      <c r="F462"/>
      <c r="G462"/>
      <c r="H462"/>
    </row>
    <row r="463" spans="1:8" ht="14.4" x14ac:dyDescent="0.3">
      <c r="A463"/>
      <c r="B463"/>
      <c r="C463"/>
      <c r="D463"/>
      <c r="E463"/>
      <c r="F463"/>
      <c r="G463"/>
      <c r="H463"/>
    </row>
    <row r="464" spans="1:8" ht="14.4" x14ac:dyDescent="0.3">
      <c r="A464"/>
      <c r="B464"/>
      <c r="C464"/>
      <c r="D464"/>
      <c r="E464"/>
      <c r="F464"/>
      <c r="G464"/>
      <c r="H464"/>
    </row>
    <row r="465" spans="1:8" ht="14.4" x14ac:dyDescent="0.3">
      <c r="A465"/>
      <c r="B465"/>
      <c r="C465"/>
      <c r="D465"/>
      <c r="E465"/>
      <c r="F465"/>
      <c r="G465"/>
      <c r="H465"/>
    </row>
    <row r="466" spans="1:8" ht="14.4" x14ac:dyDescent="0.3">
      <c r="A466"/>
      <c r="B466"/>
      <c r="C466"/>
      <c r="D466"/>
      <c r="E466"/>
      <c r="F466"/>
      <c r="G466"/>
      <c r="H466"/>
    </row>
    <row r="467" spans="1:8" ht="14.4" x14ac:dyDescent="0.3">
      <c r="A467"/>
      <c r="B467"/>
      <c r="C467"/>
      <c r="D467"/>
      <c r="E467"/>
      <c r="F467"/>
      <c r="G467"/>
      <c r="H467"/>
    </row>
    <row r="468" spans="1:8" ht="14.4" x14ac:dyDescent="0.3">
      <c r="A468"/>
      <c r="B468"/>
      <c r="C468"/>
      <c r="D468"/>
      <c r="E468"/>
      <c r="F468"/>
      <c r="G468"/>
      <c r="H468"/>
    </row>
    <row r="469" spans="1:8" ht="14.4" x14ac:dyDescent="0.3">
      <c r="A469"/>
      <c r="B469"/>
      <c r="C469"/>
      <c r="D469"/>
      <c r="E469"/>
      <c r="F469"/>
      <c r="G469"/>
      <c r="H469"/>
    </row>
    <row r="470" spans="1:8" ht="14.4" x14ac:dyDescent="0.3">
      <c r="A470"/>
      <c r="B470"/>
      <c r="C470"/>
      <c r="D470"/>
      <c r="E470"/>
      <c r="F470"/>
      <c r="G470"/>
      <c r="H470"/>
    </row>
    <row r="471" spans="1:8" ht="14.4" x14ac:dyDescent="0.3">
      <c r="A471"/>
      <c r="B471"/>
      <c r="C471"/>
      <c r="D471"/>
      <c r="E471"/>
      <c r="F471"/>
      <c r="G471"/>
      <c r="H471"/>
    </row>
    <row r="472" spans="1:8" ht="14.4" x14ac:dyDescent="0.3">
      <c r="A472"/>
      <c r="B472"/>
      <c r="C472"/>
      <c r="D472"/>
      <c r="E472"/>
      <c r="F472"/>
      <c r="G472"/>
      <c r="H472"/>
    </row>
    <row r="473" spans="1:8" ht="14.4" x14ac:dyDescent="0.3">
      <c r="A473"/>
      <c r="B473"/>
      <c r="C473"/>
      <c r="D473"/>
      <c r="E473"/>
      <c r="F473"/>
      <c r="G473"/>
      <c r="H473"/>
    </row>
    <row r="474" spans="1:8" ht="14.4" x14ac:dyDescent="0.3">
      <c r="A474"/>
      <c r="B474"/>
      <c r="C474"/>
      <c r="D474"/>
      <c r="E474"/>
      <c r="F474"/>
      <c r="G474"/>
      <c r="H474"/>
    </row>
    <row r="475" spans="1:8" ht="14.4" x14ac:dyDescent="0.3">
      <c r="A475"/>
      <c r="B475"/>
      <c r="C475"/>
      <c r="D475"/>
      <c r="E475"/>
      <c r="F475"/>
      <c r="G475"/>
      <c r="H475"/>
    </row>
    <row r="476" spans="1:8" ht="14.4" x14ac:dyDescent="0.3">
      <c r="A476"/>
      <c r="B476"/>
      <c r="C476"/>
      <c r="D476"/>
      <c r="E476"/>
      <c r="F476"/>
      <c r="G476"/>
      <c r="H476"/>
    </row>
    <row r="477" spans="1:8" ht="14.4" x14ac:dyDescent="0.3">
      <c r="A477"/>
      <c r="B477"/>
      <c r="C477"/>
      <c r="D477"/>
      <c r="E477"/>
      <c r="F477"/>
      <c r="G477"/>
      <c r="H477"/>
    </row>
    <row r="478" spans="1:8" ht="14.4" x14ac:dyDescent="0.3">
      <c r="A478"/>
      <c r="B478"/>
      <c r="C478"/>
      <c r="D478"/>
      <c r="E478"/>
      <c r="F478"/>
      <c r="G478"/>
      <c r="H478"/>
    </row>
    <row r="479" spans="1:8" ht="14.4" x14ac:dyDescent="0.3">
      <c r="A479"/>
      <c r="B479"/>
      <c r="C479"/>
      <c r="D479"/>
      <c r="E479"/>
      <c r="F479"/>
      <c r="G479"/>
      <c r="H479"/>
    </row>
    <row r="480" spans="1:8" ht="14.4" x14ac:dyDescent="0.3">
      <c r="A480"/>
      <c r="B480"/>
      <c r="C480"/>
      <c r="D480"/>
      <c r="E480"/>
      <c r="F480"/>
      <c r="G480"/>
      <c r="H480"/>
    </row>
    <row r="481" spans="1:8" ht="14.4" x14ac:dyDescent="0.3">
      <c r="A481"/>
      <c r="B481"/>
      <c r="C481"/>
      <c r="D481"/>
      <c r="E481"/>
      <c r="F481"/>
      <c r="G481"/>
      <c r="H481"/>
    </row>
    <row r="482" spans="1:8" ht="14.4" x14ac:dyDescent="0.3">
      <c r="A482"/>
      <c r="B482"/>
      <c r="C482"/>
      <c r="D482"/>
      <c r="E482"/>
      <c r="F482"/>
      <c r="G482"/>
      <c r="H482"/>
    </row>
    <row r="483" spans="1:8" ht="14.4" x14ac:dyDescent="0.3">
      <c r="A483"/>
      <c r="B483"/>
      <c r="C483"/>
      <c r="D483"/>
      <c r="E483"/>
      <c r="F483"/>
      <c r="G483"/>
      <c r="H483"/>
    </row>
    <row r="484" spans="1:8" ht="14.4" x14ac:dyDescent="0.3">
      <c r="A484"/>
      <c r="B484"/>
      <c r="C484"/>
      <c r="D484"/>
      <c r="E484"/>
      <c r="F484"/>
      <c r="G484"/>
      <c r="H484"/>
    </row>
    <row r="485" spans="1:8" ht="14.4" x14ac:dyDescent="0.3">
      <c r="A485"/>
      <c r="B485"/>
      <c r="C485"/>
      <c r="D485"/>
      <c r="E485"/>
      <c r="F485"/>
      <c r="G485"/>
      <c r="H485"/>
    </row>
    <row r="486" spans="1:8" ht="14.4" x14ac:dyDescent="0.3">
      <c r="A486"/>
      <c r="B486"/>
      <c r="C486"/>
      <c r="D486"/>
      <c r="E486"/>
      <c r="F486"/>
      <c r="G486"/>
      <c r="H486"/>
    </row>
    <row r="487" spans="1:8" ht="14.4" x14ac:dyDescent="0.3">
      <c r="A487"/>
      <c r="B487"/>
      <c r="C487"/>
      <c r="D487"/>
      <c r="E487"/>
      <c r="F487"/>
      <c r="G487"/>
      <c r="H487"/>
    </row>
    <row r="488" spans="1:8" ht="14.4" x14ac:dyDescent="0.3">
      <c r="A488"/>
      <c r="B488"/>
      <c r="C488"/>
      <c r="D488"/>
      <c r="E488"/>
      <c r="F488"/>
      <c r="G488"/>
      <c r="H488"/>
    </row>
    <row r="489" spans="1:8" ht="14.4" x14ac:dyDescent="0.3">
      <c r="A489"/>
      <c r="B489"/>
      <c r="C489"/>
      <c r="D489"/>
      <c r="E489"/>
      <c r="F489"/>
      <c r="G489"/>
      <c r="H489"/>
    </row>
    <row r="490" spans="1:8" ht="14.4" x14ac:dyDescent="0.3">
      <c r="A490"/>
      <c r="B490"/>
      <c r="C490"/>
      <c r="D490"/>
      <c r="E490"/>
      <c r="F490"/>
      <c r="G490"/>
      <c r="H490"/>
    </row>
    <row r="491" spans="1:8" ht="14.4" x14ac:dyDescent="0.3">
      <c r="A491"/>
      <c r="B491"/>
      <c r="C491"/>
      <c r="D491"/>
      <c r="E491"/>
      <c r="F491"/>
      <c r="G491"/>
      <c r="H491"/>
    </row>
    <row r="492" spans="1:8" ht="14.4" x14ac:dyDescent="0.3">
      <c r="A492"/>
      <c r="B492"/>
      <c r="C492"/>
      <c r="D492"/>
      <c r="E492"/>
      <c r="F492"/>
      <c r="G492"/>
      <c r="H492"/>
    </row>
    <row r="493" spans="1:8" ht="14.4" x14ac:dyDescent="0.3">
      <c r="A493"/>
      <c r="B493"/>
      <c r="C493"/>
      <c r="D493"/>
      <c r="E493"/>
      <c r="F493"/>
      <c r="G493"/>
      <c r="H493"/>
    </row>
    <row r="494" spans="1:8" ht="14.4" x14ac:dyDescent="0.3">
      <c r="A494"/>
      <c r="B494"/>
      <c r="C494"/>
      <c r="D494"/>
      <c r="E494"/>
      <c r="F494"/>
      <c r="G494"/>
      <c r="H494"/>
    </row>
    <row r="495" spans="1:8" ht="14.4" x14ac:dyDescent="0.3">
      <c r="A495"/>
      <c r="B495"/>
      <c r="C495"/>
      <c r="D495"/>
      <c r="E495"/>
      <c r="F495"/>
      <c r="G495"/>
      <c r="H495"/>
    </row>
    <row r="496" spans="1:8" ht="14.4" x14ac:dyDescent="0.3">
      <c r="A496"/>
      <c r="B496"/>
      <c r="C496"/>
      <c r="D496"/>
      <c r="E496"/>
      <c r="F496"/>
      <c r="G496"/>
      <c r="H496"/>
    </row>
    <row r="497" spans="1:8" ht="14.4" x14ac:dyDescent="0.3">
      <c r="A497"/>
      <c r="B497"/>
      <c r="C497"/>
      <c r="D497"/>
      <c r="E497"/>
      <c r="F497"/>
      <c r="G497"/>
      <c r="H497"/>
    </row>
    <row r="498" spans="1:8" ht="14.4" x14ac:dyDescent="0.3">
      <c r="A498"/>
      <c r="B498"/>
      <c r="C498"/>
      <c r="D498"/>
      <c r="E498"/>
      <c r="F498"/>
      <c r="G498"/>
      <c r="H498"/>
    </row>
    <row r="499" spans="1:8" ht="14.4" x14ac:dyDescent="0.3">
      <c r="A499"/>
      <c r="B499"/>
      <c r="C499"/>
      <c r="D499"/>
      <c r="E499"/>
      <c r="F499"/>
      <c r="G499"/>
      <c r="H499"/>
    </row>
    <row r="500" spans="1:8" ht="14.4" x14ac:dyDescent="0.3">
      <c r="A500"/>
      <c r="B500"/>
      <c r="C500"/>
      <c r="D500"/>
      <c r="E500"/>
      <c r="F500"/>
      <c r="G500"/>
      <c r="H500"/>
    </row>
    <row r="501" spans="1:8" ht="14.4" x14ac:dyDescent="0.3">
      <c r="A501"/>
      <c r="B501"/>
      <c r="C501"/>
      <c r="D501"/>
      <c r="E501"/>
      <c r="F501"/>
      <c r="G501"/>
      <c r="H501"/>
    </row>
    <row r="502" spans="1:8" ht="14.4" x14ac:dyDescent="0.3">
      <c r="A502"/>
      <c r="B502"/>
      <c r="C502"/>
      <c r="D502"/>
      <c r="E502"/>
      <c r="F502"/>
      <c r="G502"/>
      <c r="H502"/>
    </row>
    <row r="503" spans="1:8" ht="14.4" x14ac:dyDescent="0.3">
      <c r="A503"/>
      <c r="B503"/>
      <c r="C503"/>
      <c r="D503"/>
      <c r="E503"/>
      <c r="F503"/>
      <c r="G503"/>
      <c r="H503"/>
    </row>
    <row r="504" spans="1:8" ht="14.4" x14ac:dyDescent="0.3">
      <c r="A504"/>
      <c r="B504"/>
      <c r="C504"/>
      <c r="D504"/>
      <c r="E504"/>
      <c r="F504"/>
      <c r="G504"/>
      <c r="H504"/>
    </row>
    <row r="505" spans="1:8" ht="14.4" x14ac:dyDescent="0.3">
      <c r="A505"/>
      <c r="B505"/>
      <c r="C505"/>
      <c r="D505"/>
      <c r="E505"/>
      <c r="F505"/>
      <c r="G505"/>
      <c r="H505"/>
    </row>
    <row r="506" spans="1:8" ht="14.4" x14ac:dyDescent="0.3">
      <c r="A506"/>
      <c r="B506"/>
      <c r="C506"/>
      <c r="D506"/>
      <c r="E506"/>
      <c r="F506"/>
      <c r="G506"/>
      <c r="H506"/>
    </row>
    <row r="507" spans="1:8" ht="14.4" x14ac:dyDescent="0.3">
      <c r="A507"/>
      <c r="B507"/>
      <c r="C507"/>
      <c r="D507"/>
      <c r="E507"/>
      <c r="F507"/>
      <c r="G507"/>
      <c r="H507"/>
    </row>
    <row r="508" spans="1:8" ht="14.4" x14ac:dyDescent="0.3">
      <c r="A508"/>
      <c r="B508"/>
      <c r="C508"/>
      <c r="D508"/>
      <c r="E508"/>
      <c r="F508"/>
      <c r="G508"/>
      <c r="H508"/>
    </row>
    <row r="509" spans="1:8" ht="14.4" x14ac:dyDescent="0.3">
      <c r="A509"/>
      <c r="B509"/>
      <c r="C509"/>
      <c r="D509"/>
      <c r="E509"/>
      <c r="F509"/>
      <c r="G509"/>
      <c r="H509"/>
    </row>
    <row r="510" spans="1:8" ht="14.4" x14ac:dyDescent="0.3">
      <c r="A510"/>
      <c r="B510"/>
      <c r="C510"/>
      <c r="D510"/>
      <c r="E510"/>
      <c r="F510"/>
      <c r="G510"/>
      <c r="H510"/>
    </row>
    <row r="511" spans="1:8" ht="14.4" x14ac:dyDescent="0.3">
      <c r="A511"/>
      <c r="B511"/>
      <c r="C511"/>
      <c r="D511"/>
      <c r="E511"/>
      <c r="F511"/>
      <c r="G511"/>
      <c r="H511"/>
    </row>
    <row r="512" spans="1:8" ht="14.4" x14ac:dyDescent="0.3">
      <c r="A512"/>
      <c r="B512"/>
      <c r="C512"/>
      <c r="D512"/>
      <c r="E512"/>
      <c r="F512"/>
      <c r="G512"/>
      <c r="H512"/>
    </row>
    <row r="513" spans="1:8" ht="14.4" x14ac:dyDescent="0.3">
      <c r="A513"/>
      <c r="B513"/>
      <c r="C513"/>
      <c r="D513"/>
      <c r="E513"/>
      <c r="F513"/>
      <c r="G513"/>
      <c r="H513"/>
    </row>
    <row r="514" spans="1:8" ht="14.4" x14ac:dyDescent="0.3">
      <c r="A514"/>
      <c r="B514"/>
      <c r="C514"/>
      <c r="D514"/>
      <c r="E514"/>
      <c r="F514"/>
      <c r="G514"/>
      <c r="H514"/>
    </row>
    <row r="515" spans="1:8" ht="14.4" x14ac:dyDescent="0.3">
      <c r="A515"/>
      <c r="B515"/>
      <c r="C515"/>
      <c r="D515"/>
      <c r="E515"/>
      <c r="F515"/>
      <c r="G515"/>
      <c r="H515"/>
    </row>
    <row r="516" spans="1:8" ht="14.4" x14ac:dyDescent="0.3">
      <c r="A516"/>
      <c r="B516"/>
      <c r="C516"/>
      <c r="D516"/>
      <c r="E516"/>
      <c r="F516"/>
      <c r="G516"/>
      <c r="H516"/>
    </row>
    <row r="517" spans="1:8" ht="14.4" x14ac:dyDescent="0.3">
      <c r="A517"/>
      <c r="B517"/>
      <c r="C517"/>
      <c r="D517"/>
      <c r="E517"/>
      <c r="F517"/>
      <c r="G517"/>
      <c r="H517"/>
    </row>
    <row r="518" spans="1:8" ht="14.4" x14ac:dyDescent="0.3">
      <c r="A518"/>
      <c r="B518"/>
      <c r="C518"/>
      <c r="D518"/>
      <c r="E518"/>
      <c r="F518"/>
      <c r="G518"/>
      <c r="H518"/>
    </row>
    <row r="519" spans="1:8" ht="14.4" x14ac:dyDescent="0.3">
      <c r="A519"/>
      <c r="B519"/>
      <c r="C519"/>
      <c r="D519"/>
      <c r="E519"/>
      <c r="F519"/>
      <c r="G519"/>
      <c r="H519"/>
    </row>
    <row r="520" spans="1:8" ht="14.4" x14ac:dyDescent="0.3">
      <c r="A520"/>
      <c r="B520"/>
      <c r="C520"/>
      <c r="D520"/>
      <c r="E520"/>
      <c r="F520"/>
      <c r="G520"/>
      <c r="H520"/>
    </row>
    <row r="521" spans="1:8" ht="14.4" x14ac:dyDescent="0.3">
      <c r="A521"/>
      <c r="B521"/>
      <c r="C521"/>
      <c r="D521"/>
      <c r="E521"/>
      <c r="F521"/>
      <c r="G521"/>
      <c r="H521"/>
    </row>
    <row r="522" spans="1:8" ht="14.4" x14ac:dyDescent="0.3">
      <c r="A522"/>
      <c r="B522"/>
      <c r="C522"/>
      <c r="D522"/>
      <c r="E522"/>
      <c r="F522"/>
      <c r="G522"/>
      <c r="H522"/>
    </row>
    <row r="523" spans="1:8" ht="14.4" x14ac:dyDescent="0.3">
      <c r="A523"/>
      <c r="B523"/>
      <c r="C523"/>
      <c r="D523"/>
      <c r="E523"/>
      <c r="F523"/>
      <c r="G523"/>
      <c r="H523"/>
    </row>
    <row r="524" spans="1:8" ht="14.4" x14ac:dyDescent="0.3">
      <c r="A524"/>
      <c r="B524"/>
      <c r="C524"/>
      <c r="D524"/>
      <c r="E524"/>
      <c r="F524"/>
      <c r="G524"/>
      <c r="H524"/>
    </row>
    <row r="525" spans="1:8" ht="14.4" x14ac:dyDescent="0.3">
      <c r="A525"/>
      <c r="B525"/>
      <c r="C525"/>
      <c r="D525"/>
      <c r="E525"/>
      <c r="F525"/>
      <c r="G525"/>
      <c r="H525"/>
    </row>
    <row r="526" spans="1:8" ht="14.4" x14ac:dyDescent="0.3">
      <c r="A526"/>
      <c r="B526"/>
      <c r="C526"/>
      <c r="D526"/>
      <c r="E526"/>
      <c r="F526"/>
      <c r="G526"/>
      <c r="H526"/>
    </row>
    <row r="527" spans="1:8" ht="14.4" x14ac:dyDescent="0.3">
      <c r="A527"/>
      <c r="B527"/>
      <c r="C527"/>
      <c r="D527"/>
      <c r="E527"/>
      <c r="F527"/>
      <c r="G527"/>
      <c r="H527"/>
    </row>
    <row r="528" spans="1:8" ht="14.4" x14ac:dyDescent="0.3">
      <c r="A528"/>
      <c r="B528"/>
      <c r="C528"/>
      <c r="D528"/>
      <c r="E528"/>
      <c r="F528"/>
      <c r="G528"/>
      <c r="H528"/>
    </row>
    <row r="529" spans="1:8" ht="14.4" x14ac:dyDescent="0.3">
      <c r="A529"/>
      <c r="B529"/>
      <c r="C529"/>
      <c r="D529"/>
      <c r="E529"/>
      <c r="F529"/>
      <c r="G529"/>
      <c r="H529"/>
    </row>
    <row r="530" spans="1:8" ht="14.4" x14ac:dyDescent="0.3">
      <c r="A530"/>
      <c r="B530"/>
      <c r="C530"/>
      <c r="D530"/>
      <c r="E530"/>
      <c r="F530"/>
      <c r="G530"/>
      <c r="H530"/>
    </row>
    <row r="531" spans="1:8" ht="14.4" x14ac:dyDescent="0.3">
      <c r="A531"/>
      <c r="B531"/>
      <c r="C531"/>
      <c r="D531"/>
      <c r="E531"/>
      <c r="F531"/>
      <c r="G531"/>
      <c r="H531"/>
    </row>
    <row r="532" spans="1:8" ht="14.4" x14ac:dyDescent="0.3">
      <c r="A532"/>
      <c r="B532"/>
      <c r="C532"/>
      <c r="D532"/>
      <c r="E532"/>
      <c r="F532"/>
      <c r="G532"/>
      <c r="H532"/>
    </row>
    <row r="533" spans="1:8" ht="14.4" x14ac:dyDescent="0.3">
      <c r="A533"/>
      <c r="B533"/>
      <c r="C533"/>
      <c r="D533"/>
      <c r="E533"/>
      <c r="F533"/>
      <c r="G533"/>
      <c r="H533"/>
    </row>
    <row r="534" spans="1:8" ht="14.4" x14ac:dyDescent="0.3">
      <c r="A534"/>
      <c r="B534"/>
      <c r="C534"/>
      <c r="D534"/>
      <c r="E534"/>
      <c r="F534"/>
      <c r="G534"/>
      <c r="H534"/>
    </row>
    <row r="535" spans="1:8" ht="14.4" x14ac:dyDescent="0.3">
      <c r="A535"/>
      <c r="B535"/>
      <c r="C535"/>
      <c r="D535"/>
      <c r="E535"/>
      <c r="F535"/>
      <c r="G535"/>
      <c r="H535"/>
    </row>
    <row r="536" spans="1:8" ht="14.4" x14ac:dyDescent="0.3">
      <c r="A536"/>
      <c r="B536"/>
      <c r="C536"/>
      <c r="D536"/>
      <c r="E536"/>
      <c r="F536"/>
      <c r="G536"/>
      <c r="H536"/>
    </row>
    <row r="537" spans="1:8" ht="14.4" x14ac:dyDescent="0.3">
      <c r="A537"/>
      <c r="B537"/>
      <c r="C537"/>
      <c r="D537"/>
      <c r="E537"/>
      <c r="F537"/>
      <c r="G537"/>
      <c r="H537"/>
    </row>
    <row r="538" spans="1:8" ht="14.4" x14ac:dyDescent="0.3">
      <c r="A538"/>
      <c r="B538"/>
      <c r="C538"/>
      <c r="D538"/>
      <c r="E538"/>
      <c r="F538"/>
      <c r="G538"/>
      <c r="H538"/>
    </row>
    <row r="539" spans="1:8" ht="14.4" x14ac:dyDescent="0.3">
      <c r="A539"/>
      <c r="B539"/>
      <c r="C539"/>
      <c r="D539"/>
      <c r="E539"/>
      <c r="F539"/>
      <c r="G539"/>
      <c r="H539"/>
    </row>
    <row r="540" spans="1:8" ht="14.4" x14ac:dyDescent="0.3">
      <c r="A540"/>
      <c r="B540"/>
      <c r="C540"/>
      <c r="D540"/>
      <c r="E540"/>
      <c r="F540"/>
      <c r="G540"/>
      <c r="H540"/>
    </row>
    <row r="541" spans="1:8" ht="14.4" x14ac:dyDescent="0.3">
      <c r="A541"/>
      <c r="B541"/>
      <c r="C541"/>
      <c r="D541"/>
      <c r="E541"/>
      <c r="F541"/>
      <c r="G541"/>
      <c r="H541"/>
    </row>
    <row r="542" spans="1:8" ht="14.4" x14ac:dyDescent="0.3">
      <c r="A542"/>
      <c r="B542"/>
      <c r="C542"/>
      <c r="D542"/>
      <c r="E542"/>
      <c r="F542"/>
      <c r="G542"/>
      <c r="H542"/>
    </row>
    <row r="543" spans="1:8" ht="14.4" x14ac:dyDescent="0.3">
      <c r="A543"/>
      <c r="B543"/>
      <c r="C543"/>
      <c r="D543"/>
      <c r="E543"/>
      <c r="F543"/>
      <c r="G543"/>
      <c r="H543"/>
    </row>
    <row r="544" spans="1:8" ht="14.4" x14ac:dyDescent="0.3">
      <c r="A544"/>
      <c r="B544"/>
      <c r="C544"/>
      <c r="D544"/>
      <c r="E544"/>
      <c r="F544"/>
      <c r="G544"/>
      <c r="H544"/>
    </row>
    <row r="545" spans="1:8" ht="14.4" x14ac:dyDescent="0.3">
      <c r="A545"/>
      <c r="B545"/>
      <c r="C545"/>
      <c r="D545"/>
      <c r="E545"/>
      <c r="F545"/>
      <c r="G545"/>
      <c r="H545"/>
    </row>
    <row r="546" spans="1:8" ht="14.4" x14ac:dyDescent="0.3">
      <c r="A546"/>
      <c r="B546"/>
      <c r="C546"/>
      <c r="D546"/>
      <c r="E546"/>
      <c r="F546"/>
      <c r="G546"/>
      <c r="H546"/>
    </row>
    <row r="547" spans="1:8" ht="14.4" x14ac:dyDescent="0.3">
      <c r="A547"/>
      <c r="B547"/>
      <c r="C547"/>
      <c r="D547"/>
      <c r="E547"/>
      <c r="F547"/>
      <c r="G547"/>
      <c r="H547"/>
    </row>
    <row r="548" spans="1:8" ht="14.4" x14ac:dyDescent="0.3">
      <c r="A548"/>
      <c r="B548"/>
      <c r="C548"/>
      <c r="D548"/>
      <c r="E548"/>
      <c r="F548"/>
      <c r="G548"/>
      <c r="H548"/>
    </row>
    <row r="549" spans="1:8" ht="14.4" x14ac:dyDescent="0.3">
      <c r="A549"/>
      <c r="B549"/>
      <c r="C549"/>
      <c r="D549"/>
      <c r="E549"/>
      <c r="F549"/>
      <c r="G549"/>
      <c r="H549"/>
    </row>
    <row r="550" spans="1:8" ht="14.4" x14ac:dyDescent="0.3">
      <c r="A550"/>
      <c r="B550"/>
      <c r="C550"/>
      <c r="D550"/>
      <c r="E550"/>
      <c r="F550"/>
      <c r="G550"/>
      <c r="H550"/>
    </row>
    <row r="551" spans="1:8" ht="14.4" x14ac:dyDescent="0.3">
      <c r="A551"/>
      <c r="B551"/>
      <c r="C551"/>
      <c r="D551"/>
      <c r="E551"/>
      <c r="F551"/>
      <c r="G551"/>
      <c r="H551"/>
    </row>
    <row r="552" spans="1:8" ht="14.4" x14ac:dyDescent="0.3">
      <c r="A552"/>
      <c r="B552"/>
      <c r="C552"/>
      <c r="D552"/>
      <c r="E552"/>
      <c r="F552"/>
      <c r="G552"/>
      <c r="H552"/>
    </row>
    <row r="553" spans="1:8" ht="14.4" x14ac:dyDescent="0.3">
      <c r="A553"/>
      <c r="B553"/>
      <c r="C553"/>
      <c r="D553"/>
      <c r="E553"/>
      <c r="F553"/>
      <c r="G553"/>
      <c r="H553"/>
    </row>
    <row r="554" spans="1:8" ht="14.4" x14ac:dyDescent="0.3">
      <c r="A554"/>
      <c r="B554"/>
      <c r="C554"/>
      <c r="D554"/>
      <c r="E554"/>
      <c r="F554"/>
      <c r="G554"/>
      <c r="H554"/>
    </row>
    <row r="555" spans="1:8" ht="14.4" x14ac:dyDescent="0.3">
      <c r="A555"/>
      <c r="B555"/>
      <c r="C555"/>
      <c r="D555"/>
      <c r="E555"/>
      <c r="F555"/>
      <c r="G555"/>
      <c r="H555"/>
    </row>
    <row r="556" spans="1:8" ht="14.4" x14ac:dyDescent="0.3">
      <c r="A556"/>
      <c r="B556"/>
      <c r="C556"/>
      <c r="D556"/>
      <c r="E556"/>
      <c r="F556"/>
      <c r="G556"/>
      <c r="H556"/>
    </row>
    <row r="557" spans="1:8" ht="14.4" x14ac:dyDescent="0.3">
      <c r="A557"/>
      <c r="B557"/>
      <c r="C557"/>
      <c r="D557"/>
      <c r="E557"/>
      <c r="F557"/>
      <c r="G557"/>
      <c r="H557"/>
    </row>
    <row r="558" spans="1:8" ht="14.4" x14ac:dyDescent="0.3">
      <c r="A558"/>
      <c r="B558"/>
      <c r="C558"/>
      <c r="D558"/>
      <c r="E558"/>
      <c r="F558"/>
      <c r="G558"/>
      <c r="H558"/>
    </row>
    <row r="559" spans="1:8" ht="14.4" x14ac:dyDescent="0.3">
      <c r="A559"/>
      <c r="B559"/>
      <c r="C559"/>
      <c r="D559"/>
      <c r="E559"/>
      <c r="F559"/>
      <c r="G559"/>
      <c r="H559"/>
    </row>
    <row r="560" spans="1:8" ht="14.4" x14ac:dyDescent="0.3">
      <c r="A560"/>
      <c r="B560"/>
      <c r="C560"/>
      <c r="D560"/>
      <c r="E560"/>
      <c r="F560"/>
      <c r="G560"/>
      <c r="H560"/>
    </row>
    <row r="561" spans="1:8" ht="14.4" x14ac:dyDescent="0.3">
      <c r="A561"/>
      <c r="B561"/>
      <c r="C561"/>
      <c r="D561"/>
      <c r="E561"/>
      <c r="F561"/>
      <c r="G561"/>
      <c r="H561"/>
    </row>
    <row r="562" spans="1:8" ht="14.4" x14ac:dyDescent="0.3">
      <c r="A562"/>
      <c r="B562"/>
      <c r="C562"/>
      <c r="D562"/>
      <c r="E562"/>
      <c r="F562"/>
      <c r="G562"/>
      <c r="H562"/>
    </row>
    <row r="563" spans="1:8" ht="14.4" x14ac:dyDescent="0.3">
      <c r="A563"/>
      <c r="B563"/>
      <c r="C563"/>
      <c r="D563"/>
      <c r="E563"/>
      <c r="F563"/>
      <c r="G563"/>
      <c r="H563"/>
    </row>
    <row r="564" spans="1:8" ht="14.4" x14ac:dyDescent="0.3">
      <c r="A564"/>
      <c r="B564"/>
      <c r="C564"/>
      <c r="D564"/>
      <c r="E564"/>
      <c r="F564"/>
      <c r="G564"/>
      <c r="H564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17</vt:i4>
      </vt:variant>
    </vt:vector>
  </HeadingPairs>
  <TitlesOfParts>
    <vt:vector size="31" baseType="lpstr">
      <vt:lpstr>Database</vt:lpstr>
      <vt:lpstr>ExchangeRates</vt:lpstr>
      <vt:lpstr>Comments</vt:lpstr>
      <vt:lpstr>Descriptions</vt:lpstr>
      <vt:lpstr>PvtTableDef</vt:lpstr>
      <vt:lpstr>LocalLists</vt:lpstr>
      <vt:lpstr>ReportOptions</vt:lpstr>
      <vt:lpstr>Version</vt:lpstr>
      <vt:lpstr>Rapport info</vt:lpstr>
      <vt:lpstr>Where_Used</vt:lpstr>
      <vt:lpstr>BOM_Explosion</vt:lpstr>
      <vt:lpstr>Step_Up</vt:lpstr>
      <vt:lpstr>Where_Used_In</vt:lpstr>
      <vt:lpstr>Complete_BOM</vt:lpstr>
      <vt:lpstr>Currency</vt:lpstr>
      <vt:lpstr>FirstSheet</vt:lpstr>
      <vt:lpstr>FirstTable</vt:lpstr>
      <vt:lpstr>LinkPrices</vt:lpstr>
      <vt:lpstr>LinkQty</vt:lpstr>
      <vt:lpstr>BOM_Explosion!Print_Titles</vt:lpstr>
      <vt:lpstr>Complete_BOM!Print_Titles</vt:lpstr>
      <vt:lpstr>Step_Up!Print_Titles</vt:lpstr>
      <vt:lpstr>Where_Used!Print_Titles</vt:lpstr>
      <vt:lpstr>Where_Used_In!Print_Titles</vt:lpstr>
      <vt:lpstr>RecNum</vt:lpstr>
      <vt:lpstr>ReportCaption</vt:lpstr>
      <vt:lpstr>ReportCaption1</vt:lpstr>
      <vt:lpstr>ReportID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2017-02-02T11:54:27Z</dcterms:modified>
</cp:coreProperties>
</file>